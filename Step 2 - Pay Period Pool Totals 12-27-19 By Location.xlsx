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"/>
    </mc:Choice>
  </mc:AlternateContent>
  <xr:revisionPtr revIDLastSave="0" documentId="13_ncr:1_{1C7BC093-E454-4BE8-860E-8AB3AB7C0D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ep 2 - Server PP Contribution" sheetId="1" r:id="rId1"/>
    <sheet name="Tip Pool Shares" sheetId="2" r:id="rId2"/>
    <sheet name="Sheet3" sheetId="3" r:id="rId3"/>
  </sheets>
  <externalReferences>
    <externalReference r:id="rId4"/>
  </externalReferences>
  <definedNames>
    <definedName name="_xlnm.Print_Area" localSheetId="0">'Step 2 - Server PP Contribution'!$A$1:$E$39</definedName>
    <definedName name="_xlnm.Print_Area" localSheetId="1">'Tip Pool Shares'!$A$1:$H$50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3" i="1"/>
  <c r="B8" i="1"/>
  <c r="C13" i="1"/>
  <c r="B11" i="1"/>
  <c r="B17" i="1"/>
  <c r="B15" i="1"/>
  <c r="B14" i="1"/>
  <c r="B12" i="1"/>
  <c r="B10" i="1"/>
  <c r="C18" i="1"/>
  <c r="D17" i="1"/>
  <c r="D18" i="1"/>
  <c r="B16" i="2" l="1"/>
  <c r="B15" i="2"/>
  <c r="B8" i="2"/>
  <c r="D15" i="1" l="1"/>
  <c r="D14" i="1"/>
  <c r="D13" i="1"/>
  <c r="D12" i="1"/>
  <c r="D11" i="1" l="1"/>
  <c r="D10" i="1" l="1"/>
  <c r="D9" i="1"/>
  <c r="D8" i="1"/>
  <c r="C9" i="1" l="1"/>
  <c r="C10" i="1"/>
  <c r="C11" i="1"/>
  <c r="C12" i="1"/>
  <c r="C14" i="1"/>
  <c r="C15" i="1"/>
  <c r="C17" i="1"/>
  <c r="C8" i="1"/>
  <c r="E18" i="2" l="1"/>
  <c r="E14" i="2" l="1"/>
  <c r="E8" i="2" l="1"/>
  <c r="E9" i="2" l="1"/>
  <c r="E10" i="2"/>
  <c r="E11" i="2"/>
  <c r="E12" i="2"/>
  <c r="E13" i="2"/>
  <c r="E15" i="2"/>
  <c r="E16" i="2"/>
  <c r="E17" i="2"/>
  <c r="E19" i="2"/>
  <c r="E20" i="2"/>
  <c r="E21" i="2"/>
  <c r="H40" i="2" l="1"/>
  <c r="B34" i="1" l="1"/>
  <c r="B29" i="1"/>
  <c r="D29" i="1" l="1"/>
  <c r="C29" i="1"/>
  <c r="B35" i="1"/>
  <c r="E40" i="2"/>
  <c r="F18" i="2" s="1"/>
  <c r="F8" i="2" l="1"/>
  <c r="F14" i="2"/>
  <c r="F20" i="2"/>
  <c r="F17" i="2"/>
  <c r="F15" i="2"/>
  <c r="F12" i="2"/>
  <c r="F10" i="2"/>
  <c r="F21" i="2"/>
  <c r="F19" i="2"/>
  <c r="F16" i="2"/>
  <c r="F13" i="2"/>
  <c r="F11" i="2"/>
  <c r="F9" i="2"/>
  <c r="F40" i="2" l="1"/>
  <c r="B36" i="1"/>
  <c r="E44" i="2" l="1"/>
  <c r="E50" i="2" s="1"/>
  <c r="B37" i="1"/>
  <c r="G8" i="2" l="1"/>
  <c r="G17" i="2"/>
  <c r="G21" i="2"/>
  <c r="G10" i="2"/>
  <c r="G19" i="2"/>
  <c r="G11" i="2"/>
  <c r="G13" i="2"/>
  <c r="G14" i="2"/>
  <c r="G15" i="2"/>
  <c r="G16" i="2"/>
  <c r="G9" i="2"/>
  <c r="G18" i="2"/>
  <c r="G12" i="2"/>
  <c r="G20" i="2"/>
  <c r="G40" i="2" l="1"/>
</calcChain>
</file>

<file path=xl/sharedStrings.xml><?xml version="1.0" encoding="utf-8"?>
<sst xmlns="http://schemas.openxmlformats.org/spreadsheetml/2006/main" count="51" uniqueCount="48">
  <si>
    <t>Name</t>
  </si>
  <si>
    <t>Hours</t>
  </si>
  <si>
    <t>Rate</t>
  </si>
  <si>
    <t>Variance</t>
  </si>
  <si>
    <t>Basis</t>
  </si>
  <si>
    <t xml:space="preserve"> %</t>
  </si>
  <si>
    <t>Totals</t>
  </si>
  <si>
    <t xml:space="preserve">Net Sales </t>
  </si>
  <si>
    <t>X 3%</t>
  </si>
  <si>
    <t>Actual Tip Share</t>
  </si>
  <si>
    <t>Over/Under</t>
  </si>
  <si>
    <t>Share</t>
  </si>
  <si>
    <t>Server Contribution</t>
  </si>
  <si>
    <t>Less Prepaid</t>
  </si>
  <si>
    <t>Net Pool</t>
  </si>
  <si>
    <t>Attested By: (Initials)</t>
  </si>
  <si>
    <t>Store #17</t>
  </si>
  <si>
    <t>Salvador Pantaleon</t>
  </si>
  <si>
    <t xml:space="preserve">Tip Pool Shares    </t>
  </si>
  <si>
    <r>
      <t xml:space="preserve"> </t>
    </r>
    <r>
      <rPr>
        <b/>
        <u/>
        <sz val="12"/>
        <rFont val="Arial"/>
        <family val="2"/>
      </rPr>
      <t>Actual Contribution</t>
    </r>
  </si>
  <si>
    <t>Rose Garcia</t>
  </si>
  <si>
    <t xml:space="preserve">Received </t>
  </si>
  <si>
    <t>Rene Mungia</t>
  </si>
  <si>
    <t>Olga Kulikova - H</t>
  </si>
  <si>
    <t>Lisa Devine</t>
  </si>
  <si>
    <t>Nicholas Sloan</t>
  </si>
  <si>
    <t>Sierra Frost</t>
  </si>
  <si>
    <t>Jessica Brewster</t>
  </si>
  <si>
    <t>Ramiro Perez</t>
  </si>
  <si>
    <t>Jacob Pendleton</t>
  </si>
  <si>
    <t>Edgar Ponce</t>
  </si>
  <si>
    <t>Ayden Mitchell</t>
  </si>
  <si>
    <t>Ayden Mitchell - H</t>
  </si>
  <si>
    <t>Daniel Reed</t>
  </si>
  <si>
    <t>Hylan Calvin</t>
  </si>
  <si>
    <t>Zachary Forbes</t>
  </si>
  <si>
    <t>Donald Boyles</t>
  </si>
  <si>
    <t>Lindsay Dohle</t>
  </si>
  <si>
    <t xml:space="preserve">PPE: 12/27/19 </t>
  </si>
  <si>
    <t xml:space="preserve"> </t>
  </si>
  <si>
    <t>Jeremy Carter</t>
  </si>
  <si>
    <t>Emily Bellomo - H #28</t>
  </si>
  <si>
    <t>Stephanie Rogers - H</t>
  </si>
  <si>
    <t>Cheyenne Brooks</t>
  </si>
  <si>
    <t>Trish Sweaney</t>
  </si>
  <si>
    <t>Sales</t>
  </si>
  <si>
    <t>Location # 17</t>
  </si>
  <si>
    <r>
      <rPr>
        <b/>
        <u/>
        <sz val="14"/>
        <rFont val="Arial"/>
        <family val="2"/>
      </rPr>
      <t xml:space="preserve">Server Total Pay Period Contributions To Pool </t>
    </r>
    <r>
      <rPr>
        <b/>
        <sz val="14"/>
        <rFont val="Arial"/>
        <family val="2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</si>
</sst>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0;[Red]&quot;$&quot;#,##0.00"/>
  </numFmts>
  <fonts count="1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4"/>
      <color theme="1"/>
      <name val="Calibri"/>
      <family val="2"/>
      <scheme val="minor"/>
    </font>
    <font>
      <b/>
      <u/>
      <sz val="14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u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8" fontId="0" fillId="0" borderId="2" xfId="0" applyNumberFormat="1" applyBorder="1"/>
    <xf numFmtId="44" fontId="0" fillId="0" borderId="2" xfId="0" applyNumberFormat="1" applyBorder="1"/>
    <xf numFmtId="0" fontId="5" fillId="0" borderId="0" xfId="0" applyFont="1"/>
    <xf numFmtId="0" fontId="5" fillId="0" borderId="0" xfId="0" applyFont="1" applyAlignment="1">
      <alignment horizontal="center"/>
    </xf>
    <xf numFmtId="44" fontId="5" fillId="0" borderId="2" xfId="0" applyNumberFormat="1" applyFont="1" applyBorder="1"/>
    <xf numFmtId="0" fontId="5" fillId="0" borderId="3" xfId="0" applyFont="1" applyBorder="1"/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8" fontId="1" fillId="0" borderId="3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3" fillId="0" borderId="5" xfId="0" applyFont="1" applyBorder="1"/>
    <xf numFmtId="0" fontId="0" fillId="0" borderId="6" xfId="0" applyBorder="1"/>
    <xf numFmtId="0" fontId="1" fillId="0" borderId="8" xfId="0" applyFont="1" applyBorder="1"/>
    <xf numFmtId="0" fontId="1" fillId="0" borderId="0" xfId="0" applyFont="1"/>
    <xf numFmtId="0" fontId="4" fillId="0" borderId="8" xfId="0" applyFont="1" applyBorder="1"/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8" xfId="0" applyFont="1" applyBorder="1"/>
    <xf numFmtId="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8" fontId="5" fillId="0" borderId="14" xfId="0" applyNumberFormat="1" applyFont="1" applyBorder="1"/>
    <xf numFmtId="8" fontId="1" fillId="0" borderId="0" xfId="0" applyNumberFormat="1" applyFont="1"/>
    <xf numFmtId="40" fontId="1" fillId="0" borderId="0" xfId="0" applyNumberFormat="1" applyFont="1"/>
    <xf numFmtId="9" fontId="1" fillId="0" borderId="8" xfId="0" applyNumberFormat="1" applyFont="1" applyBorder="1"/>
    <xf numFmtId="0" fontId="1" fillId="0" borderId="10" xfId="0" applyFont="1" applyBorder="1"/>
    <xf numFmtId="40" fontId="1" fillId="2" borderId="0" xfId="0" applyNumberFormat="1" applyFont="1" applyFill="1"/>
    <xf numFmtId="44" fontId="5" fillId="0" borderId="16" xfId="0" applyNumberFormat="1" applyFont="1" applyBorder="1"/>
    <xf numFmtId="0" fontId="5" fillId="0" borderId="15" xfId="0" applyFont="1" applyBorder="1" applyAlignment="1">
      <alignment horizontal="center"/>
    </xf>
    <xf numFmtId="10" fontId="5" fillId="0" borderId="4" xfId="0" applyNumberFormat="1" applyFont="1" applyBorder="1" applyAlignment="1">
      <alignment horizontal="center"/>
    </xf>
    <xf numFmtId="8" fontId="5" fillId="0" borderId="4" xfId="0" applyNumberFormat="1" applyFont="1" applyBorder="1" applyAlignment="1">
      <alignment horizontal="center"/>
    </xf>
    <xf numFmtId="0" fontId="0" fillId="0" borderId="9" xfId="0" applyBorder="1"/>
    <xf numFmtId="10" fontId="5" fillId="0" borderId="0" xfId="0" applyNumberFormat="1" applyFont="1" applyAlignment="1">
      <alignment horizontal="center"/>
    </xf>
    <xf numFmtId="8" fontId="5" fillId="0" borderId="12" xfId="0" applyNumberFormat="1" applyFont="1" applyBorder="1"/>
    <xf numFmtId="8" fontId="0" fillId="0" borderId="14" xfId="0" applyNumberFormat="1" applyBorder="1"/>
    <xf numFmtId="0" fontId="0" fillId="0" borderId="8" xfId="0" applyBorder="1"/>
    <xf numFmtId="0" fontId="2" fillId="0" borderId="8" xfId="0" applyFont="1" applyBorder="1"/>
    <xf numFmtId="0" fontId="2" fillId="0" borderId="0" xfId="0" applyFont="1"/>
    <xf numFmtId="8" fontId="2" fillId="0" borderId="0" xfId="0" applyNumberFormat="1" applyFont="1"/>
    <xf numFmtId="9" fontId="1" fillId="0" borderId="0" xfId="0" applyNumberFormat="1" applyFont="1"/>
    <xf numFmtId="164" fontId="1" fillId="2" borderId="0" xfId="0" applyNumberFormat="1" applyFont="1" applyFill="1"/>
    <xf numFmtId="165" fontId="6" fillId="0" borderId="0" xfId="0" applyNumberFormat="1" applyFont="1"/>
    <xf numFmtId="164" fontId="1" fillId="0" borderId="0" xfId="0" applyNumberFormat="1" applyFont="1"/>
    <xf numFmtId="40" fontId="1" fillId="0" borderId="3" xfId="0" applyNumberFormat="1" applyFont="1" applyBorder="1"/>
    <xf numFmtId="0" fontId="3" fillId="0" borderId="6" xfId="0" applyFont="1" applyBorder="1"/>
    <xf numFmtId="0" fontId="7" fillId="0" borderId="6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9" fillId="0" borderId="0" xfId="0" applyFont="1"/>
    <xf numFmtId="0" fontId="0" fillId="0" borderId="13" xfId="0" applyBorder="1"/>
    <xf numFmtId="0" fontId="0" fillId="0" borderId="15" xfId="0" applyBorder="1"/>
    <xf numFmtId="0" fontId="10" fillId="0" borderId="6" xfId="0" applyFont="1" applyBorder="1"/>
    <xf numFmtId="0" fontId="10" fillId="0" borderId="7" xfId="0" applyFont="1" applyBorder="1" applyAlignment="1">
      <alignment horizontal="center"/>
    </xf>
    <xf numFmtId="0" fontId="4" fillId="0" borderId="0" xfId="0" applyFont="1" applyAlignment="1">
      <alignment horizontal="right"/>
    </xf>
    <xf numFmtId="2" fontId="5" fillId="0" borderId="4" xfId="0" applyNumberFormat="1" applyFont="1" applyBorder="1" applyAlignment="1">
      <alignment horizontal="right"/>
    </xf>
    <xf numFmtId="2" fontId="0" fillId="0" borderId="0" xfId="0" applyNumberFormat="1"/>
    <xf numFmtId="4" fontId="2" fillId="0" borderId="0" xfId="0" applyNumberFormat="1" applyFont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0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3" fillId="0" borderId="8" xfId="0" applyFont="1" applyBorder="1"/>
    <xf numFmtId="0" fontId="7" fillId="0" borderId="0" xfId="0" applyFont="1"/>
    <xf numFmtId="0" fontId="3" fillId="0" borderId="9" xfId="0" applyFont="1" applyBorder="1" applyAlignment="1">
      <alignment horizontal="center"/>
    </xf>
    <xf numFmtId="0" fontId="3" fillId="0" borderId="0" xfId="0" applyFont="1"/>
    <xf numFmtId="0" fontId="10" fillId="0" borderId="0" xfId="0" applyFont="1"/>
    <xf numFmtId="10" fontId="1" fillId="0" borderId="0" xfId="0" applyNumberFormat="1" applyFont="1" applyAlignment="1">
      <alignment horizontal="center"/>
    </xf>
    <xf numFmtId="0" fontId="5" fillId="3" borderId="12" xfId="0" applyFont="1" applyFill="1" applyBorder="1"/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ookkeeping/Desktop/Tip%20Pool/Daily%20Tip%20pool/Daily%20Tips%202019/12-27-19%20P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28"/>
      <sheetName val="#17"/>
      <sheetName val="#12"/>
    </sheetNames>
    <sheetDataSet>
      <sheetData sheetId="0">
        <row r="22">
          <cell r="B22">
            <v>50</v>
          </cell>
        </row>
      </sheetData>
      <sheetData sheetId="1">
        <row r="22">
          <cell r="B22">
            <v>158</v>
          </cell>
          <cell r="C22">
            <v>91</v>
          </cell>
          <cell r="D22">
            <v>248</v>
          </cell>
          <cell r="E22">
            <v>50</v>
          </cell>
          <cell r="F22">
            <v>76</v>
          </cell>
          <cell r="G22">
            <v>220</v>
          </cell>
          <cell r="H22">
            <v>196</v>
          </cell>
          <cell r="I22">
            <v>274</v>
          </cell>
          <cell r="K22">
            <v>52</v>
          </cell>
          <cell r="L22">
            <v>18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view="pageBreakPreview" zoomScale="90" zoomScaleNormal="100" zoomScaleSheetLayoutView="90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RowHeight="15" x14ac:dyDescent="0.25"/>
  <cols>
    <col min="1" max="2" width="23.140625" customWidth="1"/>
    <col min="3" max="3" width="15.140625" bestFit="1" customWidth="1"/>
    <col min="4" max="4" width="22.85546875" customWidth="1"/>
    <col min="5" max="5" width="27.28515625" style="1" customWidth="1"/>
    <col min="257" max="257" width="21.28515625" customWidth="1"/>
    <col min="258" max="258" width="15.85546875" customWidth="1"/>
    <col min="259" max="259" width="13.140625" customWidth="1"/>
    <col min="260" max="260" width="22.85546875" customWidth="1"/>
    <col min="261" max="261" width="27.28515625" customWidth="1"/>
    <col min="513" max="513" width="21.28515625" customWidth="1"/>
    <col min="514" max="514" width="15.85546875" customWidth="1"/>
    <col min="515" max="515" width="13.140625" customWidth="1"/>
    <col min="516" max="516" width="22.85546875" customWidth="1"/>
    <col min="517" max="517" width="27.28515625" customWidth="1"/>
    <col min="769" max="769" width="21.28515625" customWidth="1"/>
    <col min="770" max="770" width="15.85546875" customWidth="1"/>
    <col min="771" max="771" width="13.140625" customWidth="1"/>
    <col min="772" max="772" width="22.85546875" customWidth="1"/>
    <col min="773" max="773" width="27.28515625" customWidth="1"/>
    <col min="1025" max="1025" width="21.28515625" customWidth="1"/>
    <col min="1026" max="1026" width="15.85546875" customWidth="1"/>
    <col min="1027" max="1027" width="13.140625" customWidth="1"/>
    <col min="1028" max="1028" width="22.85546875" customWidth="1"/>
    <col min="1029" max="1029" width="27.28515625" customWidth="1"/>
    <col min="1281" max="1281" width="21.28515625" customWidth="1"/>
    <col min="1282" max="1282" width="15.85546875" customWidth="1"/>
    <col min="1283" max="1283" width="13.140625" customWidth="1"/>
    <col min="1284" max="1284" width="22.85546875" customWidth="1"/>
    <col min="1285" max="1285" width="27.28515625" customWidth="1"/>
    <col min="1537" max="1537" width="21.28515625" customWidth="1"/>
    <col min="1538" max="1538" width="15.85546875" customWidth="1"/>
    <col min="1539" max="1539" width="13.140625" customWidth="1"/>
    <col min="1540" max="1540" width="22.85546875" customWidth="1"/>
    <col min="1541" max="1541" width="27.28515625" customWidth="1"/>
    <col min="1793" max="1793" width="21.28515625" customWidth="1"/>
    <col min="1794" max="1794" width="15.85546875" customWidth="1"/>
    <col min="1795" max="1795" width="13.140625" customWidth="1"/>
    <col min="1796" max="1796" width="22.85546875" customWidth="1"/>
    <col min="1797" max="1797" width="27.28515625" customWidth="1"/>
    <col min="2049" max="2049" width="21.28515625" customWidth="1"/>
    <col min="2050" max="2050" width="15.85546875" customWidth="1"/>
    <col min="2051" max="2051" width="13.140625" customWidth="1"/>
    <col min="2052" max="2052" width="22.85546875" customWidth="1"/>
    <col min="2053" max="2053" width="27.28515625" customWidth="1"/>
    <col min="2305" max="2305" width="21.28515625" customWidth="1"/>
    <col min="2306" max="2306" width="15.85546875" customWidth="1"/>
    <col min="2307" max="2307" width="13.140625" customWidth="1"/>
    <col min="2308" max="2308" width="22.85546875" customWidth="1"/>
    <col min="2309" max="2309" width="27.28515625" customWidth="1"/>
    <col min="2561" max="2561" width="21.28515625" customWidth="1"/>
    <col min="2562" max="2562" width="15.85546875" customWidth="1"/>
    <col min="2563" max="2563" width="13.140625" customWidth="1"/>
    <col min="2564" max="2564" width="22.85546875" customWidth="1"/>
    <col min="2565" max="2565" width="27.28515625" customWidth="1"/>
    <col min="2817" max="2817" width="21.28515625" customWidth="1"/>
    <col min="2818" max="2818" width="15.85546875" customWidth="1"/>
    <col min="2819" max="2819" width="13.140625" customWidth="1"/>
    <col min="2820" max="2820" width="22.85546875" customWidth="1"/>
    <col min="2821" max="2821" width="27.28515625" customWidth="1"/>
    <col min="3073" max="3073" width="21.28515625" customWidth="1"/>
    <col min="3074" max="3074" width="15.85546875" customWidth="1"/>
    <col min="3075" max="3075" width="13.140625" customWidth="1"/>
    <col min="3076" max="3076" width="22.85546875" customWidth="1"/>
    <col min="3077" max="3077" width="27.28515625" customWidth="1"/>
    <col min="3329" max="3329" width="21.28515625" customWidth="1"/>
    <col min="3330" max="3330" width="15.85546875" customWidth="1"/>
    <col min="3331" max="3331" width="13.140625" customWidth="1"/>
    <col min="3332" max="3332" width="22.85546875" customWidth="1"/>
    <col min="3333" max="3333" width="27.28515625" customWidth="1"/>
    <col min="3585" max="3585" width="21.28515625" customWidth="1"/>
    <col min="3586" max="3586" width="15.85546875" customWidth="1"/>
    <col min="3587" max="3587" width="13.140625" customWidth="1"/>
    <col min="3588" max="3588" width="22.85546875" customWidth="1"/>
    <col min="3589" max="3589" width="27.28515625" customWidth="1"/>
    <col min="3841" max="3841" width="21.28515625" customWidth="1"/>
    <col min="3842" max="3842" width="15.85546875" customWidth="1"/>
    <col min="3843" max="3843" width="13.140625" customWidth="1"/>
    <col min="3844" max="3844" width="22.85546875" customWidth="1"/>
    <col min="3845" max="3845" width="27.28515625" customWidth="1"/>
    <col min="4097" max="4097" width="21.28515625" customWidth="1"/>
    <col min="4098" max="4098" width="15.85546875" customWidth="1"/>
    <col min="4099" max="4099" width="13.140625" customWidth="1"/>
    <col min="4100" max="4100" width="22.85546875" customWidth="1"/>
    <col min="4101" max="4101" width="27.28515625" customWidth="1"/>
    <col min="4353" max="4353" width="21.28515625" customWidth="1"/>
    <col min="4354" max="4354" width="15.85546875" customWidth="1"/>
    <col min="4355" max="4355" width="13.140625" customWidth="1"/>
    <col min="4356" max="4356" width="22.85546875" customWidth="1"/>
    <col min="4357" max="4357" width="27.28515625" customWidth="1"/>
    <col min="4609" max="4609" width="21.28515625" customWidth="1"/>
    <col min="4610" max="4610" width="15.85546875" customWidth="1"/>
    <col min="4611" max="4611" width="13.140625" customWidth="1"/>
    <col min="4612" max="4612" width="22.85546875" customWidth="1"/>
    <col min="4613" max="4613" width="27.28515625" customWidth="1"/>
    <col min="4865" max="4865" width="21.28515625" customWidth="1"/>
    <col min="4866" max="4866" width="15.85546875" customWidth="1"/>
    <col min="4867" max="4867" width="13.140625" customWidth="1"/>
    <col min="4868" max="4868" width="22.85546875" customWidth="1"/>
    <col min="4869" max="4869" width="27.28515625" customWidth="1"/>
    <col min="5121" max="5121" width="21.28515625" customWidth="1"/>
    <col min="5122" max="5122" width="15.85546875" customWidth="1"/>
    <col min="5123" max="5123" width="13.140625" customWidth="1"/>
    <col min="5124" max="5124" width="22.85546875" customWidth="1"/>
    <col min="5125" max="5125" width="27.28515625" customWidth="1"/>
    <col min="5377" max="5377" width="21.28515625" customWidth="1"/>
    <col min="5378" max="5378" width="15.85546875" customWidth="1"/>
    <col min="5379" max="5379" width="13.140625" customWidth="1"/>
    <col min="5380" max="5380" width="22.85546875" customWidth="1"/>
    <col min="5381" max="5381" width="27.28515625" customWidth="1"/>
    <col min="5633" max="5633" width="21.28515625" customWidth="1"/>
    <col min="5634" max="5634" width="15.85546875" customWidth="1"/>
    <col min="5635" max="5635" width="13.140625" customWidth="1"/>
    <col min="5636" max="5636" width="22.85546875" customWidth="1"/>
    <col min="5637" max="5637" width="27.28515625" customWidth="1"/>
    <col min="5889" max="5889" width="21.28515625" customWidth="1"/>
    <col min="5890" max="5890" width="15.85546875" customWidth="1"/>
    <col min="5891" max="5891" width="13.140625" customWidth="1"/>
    <col min="5892" max="5892" width="22.85546875" customWidth="1"/>
    <col min="5893" max="5893" width="27.28515625" customWidth="1"/>
    <col min="6145" max="6145" width="21.28515625" customWidth="1"/>
    <col min="6146" max="6146" width="15.85546875" customWidth="1"/>
    <col min="6147" max="6147" width="13.140625" customWidth="1"/>
    <col min="6148" max="6148" width="22.85546875" customWidth="1"/>
    <col min="6149" max="6149" width="27.28515625" customWidth="1"/>
    <col min="6401" max="6401" width="21.28515625" customWidth="1"/>
    <col min="6402" max="6402" width="15.85546875" customWidth="1"/>
    <col min="6403" max="6403" width="13.140625" customWidth="1"/>
    <col min="6404" max="6404" width="22.85546875" customWidth="1"/>
    <col min="6405" max="6405" width="27.28515625" customWidth="1"/>
    <col min="6657" max="6657" width="21.28515625" customWidth="1"/>
    <col min="6658" max="6658" width="15.85546875" customWidth="1"/>
    <col min="6659" max="6659" width="13.140625" customWidth="1"/>
    <col min="6660" max="6660" width="22.85546875" customWidth="1"/>
    <col min="6661" max="6661" width="27.28515625" customWidth="1"/>
    <col min="6913" max="6913" width="21.28515625" customWidth="1"/>
    <col min="6914" max="6914" width="15.85546875" customWidth="1"/>
    <col min="6915" max="6915" width="13.140625" customWidth="1"/>
    <col min="6916" max="6916" width="22.85546875" customWidth="1"/>
    <col min="6917" max="6917" width="27.28515625" customWidth="1"/>
    <col min="7169" max="7169" width="21.28515625" customWidth="1"/>
    <col min="7170" max="7170" width="15.85546875" customWidth="1"/>
    <col min="7171" max="7171" width="13.140625" customWidth="1"/>
    <col min="7172" max="7172" width="22.85546875" customWidth="1"/>
    <col min="7173" max="7173" width="27.28515625" customWidth="1"/>
    <col min="7425" max="7425" width="21.28515625" customWidth="1"/>
    <col min="7426" max="7426" width="15.85546875" customWidth="1"/>
    <col min="7427" max="7427" width="13.140625" customWidth="1"/>
    <col min="7428" max="7428" width="22.85546875" customWidth="1"/>
    <col min="7429" max="7429" width="27.28515625" customWidth="1"/>
    <col min="7681" max="7681" width="21.28515625" customWidth="1"/>
    <col min="7682" max="7682" width="15.85546875" customWidth="1"/>
    <col min="7683" max="7683" width="13.140625" customWidth="1"/>
    <col min="7684" max="7684" width="22.85546875" customWidth="1"/>
    <col min="7685" max="7685" width="27.28515625" customWidth="1"/>
    <col min="7937" max="7937" width="21.28515625" customWidth="1"/>
    <col min="7938" max="7938" width="15.85546875" customWidth="1"/>
    <col min="7939" max="7939" width="13.140625" customWidth="1"/>
    <col min="7940" max="7940" width="22.85546875" customWidth="1"/>
    <col min="7941" max="7941" width="27.28515625" customWidth="1"/>
    <col min="8193" max="8193" width="21.28515625" customWidth="1"/>
    <col min="8194" max="8194" width="15.85546875" customWidth="1"/>
    <col min="8195" max="8195" width="13.140625" customWidth="1"/>
    <col min="8196" max="8196" width="22.85546875" customWidth="1"/>
    <col min="8197" max="8197" width="27.28515625" customWidth="1"/>
    <col min="8449" max="8449" width="21.28515625" customWidth="1"/>
    <col min="8450" max="8450" width="15.85546875" customWidth="1"/>
    <col min="8451" max="8451" width="13.140625" customWidth="1"/>
    <col min="8452" max="8452" width="22.85546875" customWidth="1"/>
    <col min="8453" max="8453" width="27.28515625" customWidth="1"/>
    <col min="8705" max="8705" width="21.28515625" customWidth="1"/>
    <col min="8706" max="8706" width="15.85546875" customWidth="1"/>
    <col min="8707" max="8707" width="13.140625" customWidth="1"/>
    <col min="8708" max="8708" width="22.85546875" customWidth="1"/>
    <col min="8709" max="8709" width="27.28515625" customWidth="1"/>
    <col min="8961" max="8961" width="21.28515625" customWidth="1"/>
    <col min="8962" max="8962" width="15.85546875" customWidth="1"/>
    <col min="8963" max="8963" width="13.140625" customWidth="1"/>
    <col min="8964" max="8964" width="22.85546875" customWidth="1"/>
    <col min="8965" max="8965" width="27.28515625" customWidth="1"/>
    <col min="9217" max="9217" width="21.28515625" customWidth="1"/>
    <col min="9218" max="9218" width="15.85546875" customWidth="1"/>
    <col min="9219" max="9219" width="13.140625" customWidth="1"/>
    <col min="9220" max="9220" width="22.85546875" customWidth="1"/>
    <col min="9221" max="9221" width="27.28515625" customWidth="1"/>
    <col min="9473" max="9473" width="21.28515625" customWidth="1"/>
    <col min="9474" max="9474" width="15.85546875" customWidth="1"/>
    <col min="9475" max="9475" width="13.140625" customWidth="1"/>
    <col min="9476" max="9476" width="22.85546875" customWidth="1"/>
    <col min="9477" max="9477" width="27.28515625" customWidth="1"/>
    <col min="9729" max="9729" width="21.28515625" customWidth="1"/>
    <col min="9730" max="9730" width="15.85546875" customWidth="1"/>
    <col min="9731" max="9731" width="13.140625" customWidth="1"/>
    <col min="9732" max="9732" width="22.85546875" customWidth="1"/>
    <col min="9733" max="9733" width="27.28515625" customWidth="1"/>
    <col min="9985" max="9985" width="21.28515625" customWidth="1"/>
    <col min="9986" max="9986" width="15.85546875" customWidth="1"/>
    <col min="9987" max="9987" width="13.140625" customWidth="1"/>
    <col min="9988" max="9988" width="22.85546875" customWidth="1"/>
    <col min="9989" max="9989" width="27.28515625" customWidth="1"/>
    <col min="10241" max="10241" width="21.28515625" customWidth="1"/>
    <col min="10242" max="10242" width="15.85546875" customWidth="1"/>
    <col min="10243" max="10243" width="13.140625" customWidth="1"/>
    <col min="10244" max="10244" width="22.85546875" customWidth="1"/>
    <col min="10245" max="10245" width="27.28515625" customWidth="1"/>
    <col min="10497" max="10497" width="21.28515625" customWidth="1"/>
    <col min="10498" max="10498" width="15.85546875" customWidth="1"/>
    <col min="10499" max="10499" width="13.140625" customWidth="1"/>
    <col min="10500" max="10500" width="22.85546875" customWidth="1"/>
    <col min="10501" max="10501" width="27.28515625" customWidth="1"/>
    <col min="10753" max="10753" width="21.28515625" customWidth="1"/>
    <col min="10754" max="10754" width="15.85546875" customWidth="1"/>
    <col min="10755" max="10755" width="13.140625" customWidth="1"/>
    <col min="10756" max="10756" width="22.85546875" customWidth="1"/>
    <col min="10757" max="10757" width="27.28515625" customWidth="1"/>
    <col min="11009" max="11009" width="21.28515625" customWidth="1"/>
    <col min="11010" max="11010" width="15.85546875" customWidth="1"/>
    <col min="11011" max="11011" width="13.140625" customWidth="1"/>
    <col min="11012" max="11012" width="22.85546875" customWidth="1"/>
    <col min="11013" max="11013" width="27.28515625" customWidth="1"/>
    <col min="11265" max="11265" width="21.28515625" customWidth="1"/>
    <col min="11266" max="11266" width="15.85546875" customWidth="1"/>
    <col min="11267" max="11267" width="13.140625" customWidth="1"/>
    <col min="11268" max="11268" width="22.85546875" customWidth="1"/>
    <col min="11269" max="11269" width="27.28515625" customWidth="1"/>
    <col min="11521" max="11521" width="21.28515625" customWidth="1"/>
    <col min="11522" max="11522" width="15.85546875" customWidth="1"/>
    <col min="11523" max="11523" width="13.140625" customWidth="1"/>
    <col min="11524" max="11524" width="22.85546875" customWidth="1"/>
    <col min="11525" max="11525" width="27.28515625" customWidth="1"/>
    <col min="11777" max="11777" width="21.28515625" customWidth="1"/>
    <col min="11778" max="11778" width="15.85546875" customWidth="1"/>
    <col min="11779" max="11779" width="13.140625" customWidth="1"/>
    <col min="11780" max="11780" width="22.85546875" customWidth="1"/>
    <col min="11781" max="11781" width="27.28515625" customWidth="1"/>
    <col min="12033" max="12033" width="21.28515625" customWidth="1"/>
    <col min="12034" max="12034" width="15.85546875" customWidth="1"/>
    <col min="12035" max="12035" width="13.140625" customWidth="1"/>
    <col min="12036" max="12036" width="22.85546875" customWidth="1"/>
    <col min="12037" max="12037" width="27.28515625" customWidth="1"/>
    <col min="12289" max="12289" width="21.28515625" customWidth="1"/>
    <col min="12290" max="12290" width="15.85546875" customWidth="1"/>
    <col min="12291" max="12291" width="13.140625" customWidth="1"/>
    <col min="12292" max="12292" width="22.85546875" customWidth="1"/>
    <col min="12293" max="12293" width="27.28515625" customWidth="1"/>
    <col min="12545" max="12545" width="21.28515625" customWidth="1"/>
    <col min="12546" max="12546" width="15.85546875" customWidth="1"/>
    <col min="12547" max="12547" width="13.140625" customWidth="1"/>
    <col min="12548" max="12548" width="22.85546875" customWidth="1"/>
    <col min="12549" max="12549" width="27.28515625" customWidth="1"/>
    <col min="12801" max="12801" width="21.28515625" customWidth="1"/>
    <col min="12802" max="12802" width="15.85546875" customWidth="1"/>
    <col min="12803" max="12803" width="13.140625" customWidth="1"/>
    <col min="12804" max="12804" width="22.85546875" customWidth="1"/>
    <col min="12805" max="12805" width="27.28515625" customWidth="1"/>
    <col min="13057" max="13057" width="21.28515625" customWidth="1"/>
    <col min="13058" max="13058" width="15.85546875" customWidth="1"/>
    <col min="13059" max="13059" width="13.140625" customWidth="1"/>
    <col min="13060" max="13060" width="22.85546875" customWidth="1"/>
    <col min="13061" max="13061" width="27.28515625" customWidth="1"/>
    <col min="13313" max="13313" width="21.28515625" customWidth="1"/>
    <col min="13314" max="13314" width="15.85546875" customWidth="1"/>
    <col min="13315" max="13315" width="13.140625" customWidth="1"/>
    <col min="13316" max="13316" width="22.85546875" customWidth="1"/>
    <col min="13317" max="13317" width="27.28515625" customWidth="1"/>
    <col min="13569" max="13569" width="21.28515625" customWidth="1"/>
    <col min="13570" max="13570" width="15.85546875" customWidth="1"/>
    <col min="13571" max="13571" width="13.140625" customWidth="1"/>
    <col min="13572" max="13572" width="22.85546875" customWidth="1"/>
    <col min="13573" max="13573" width="27.28515625" customWidth="1"/>
    <col min="13825" max="13825" width="21.28515625" customWidth="1"/>
    <col min="13826" max="13826" width="15.85546875" customWidth="1"/>
    <col min="13827" max="13827" width="13.140625" customWidth="1"/>
    <col min="13828" max="13828" width="22.85546875" customWidth="1"/>
    <col min="13829" max="13829" width="27.28515625" customWidth="1"/>
    <col min="14081" max="14081" width="21.28515625" customWidth="1"/>
    <col min="14082" max="14082" width="15.85546875" customWidth="1"/>
    <col min="14083" max="14083" width="13.140625" customWidth="1"/>
    <col min="14084" max="14084" width="22.85546875" customWidth="1"/>
    <col min="14085" max="14085" width="27.28515625" customWidth="1"/>
    <col min="14337" max="14337" width="21.28515625" customWidth="1"/>
    <col min="14338" max="14338" width="15.85546875" customWidth="1"/>
    <col min="14339" max="14339" width="13.140625" customWidth="1"/>
    <col min="14340" max="14340" width="22.85546875" customWidth="1"/>
    <col min="14341" max="14341" width="27.28515625" customWidth="1"/>
    <col min="14593" max="14593" width="21.28515625" customWidth="1"/>
    <col min="14594" max="14594" width="15.85546875" customWidth="1"/>
    <col min="14595" max="14595" width="13.140625" customWidth="1"/>
    <col min="14596" max="14596" width="22.85546875" customWidth="1"/>
    <col min="14597" max="14597" width="27.28515625" customWidth="1"/>
    <col min="14849" max="14849" width="21.28515625" customWidth="1"/>
    <col min="14850" max="14850" width="15.85546875" customWidth="1"/>
    <col min="14851" max="14851" width="13.140625" customWidth="1"/>
    <col min="14852" max="14852" width="22.85546875" customWidth="1"/>
    <col min="14853" max="14853" width="27.28515625" customWidth="1"/>
    <col min="15105" max="15105" width="21.28515625" customWidth="1"/>
    <col min="15106" max="15106" width="15.85546875" customWidth="1"/>
    <col min="15107" max="15107" width="13.140625" customWidth="1"/>
    <col min="15108" max="15108" width="22.85546875" customWidth="1"/>
    <col min="15109" max="15109" width="27.28515625" customWidth="1"/>
    <col min="15361" max="15361" width="21.28515625" customWidth="1"/>
    <col min="15362" max="15362" width="15.85546875" customWidth="1"/>
    <col min="15363" max="15363" width="13.140625" customWidth="1"/>
    <col min="15364" max="15364" width="22.85546875" customWidth="1"/>
    <col min="15365" max="15365" width="27.28515625" customWidth="1"/>
    <col min="15617" max="15617" width="21.28515625" customWidth="1"/>
    <col min="15618" max="15618" width="15.85546875" customWidth="1"/>
    <col min="15619" max="15619" width="13.140625" customWidth="1"/>
    <col min="15620" max="15620" width="22.85546875" customWidth="1"/>
    <col min="15621" max="15621" width="27.28515625" customWidth="1"/>
    <col min="15873" max="15873" width="21.28515625" customWidth="1"/>
    <col min="15874" max="15874" width="15.85546875" customWidth="1"/>
    <col min="15875" max="15875" width="13.140625" customWidth="1"/>
    <col min="15876" max="15876" width="22.85546875" customWidth="1"/>
    <col min="15877" max="15877" width="27.28515625" customWidth="1"/>
    <col min="16129" max="16129" width="21.28515625" customWidth="1"/>
    <col min="16130" max="16130" width="15.85546875" customWidth="1"/>
    <col min="16131" max="16131" width="13.140625" customWidth="1"/>
    <col min="16132" max="16132" width="22.85546875" customWidth="1"/>
    <col min="16133" max="16133" width="27.28515625" customWidth="1"/>
  </cols>
  <sheetData>
    <row r="1" spans="1:5" ht="18.75" x14ac:dyDescent="0.3">
      <c r="A1" s="14" t="s">
        <v>46</v>
      </c>
      <c r="B1" s="15"/>
      <c r="C1" s="15"/>
      <c r="D1" s="53"/>
      <c r="E1" s="66" t="s">
        <v>38</v>
      </c>
    </row>
    <row r="2" spans="1:5" ht="18.75" x14ac:dyDescent="0.3">
      <c r="A2" s="79"/>
      <c r="D2" s="80"/>
      <c r="E2" s="81"/>
    </row>
    <row r="3" spans="1:5" ht="18.75" customHeight="1" x14ac:dyDescent="0.25">
      <c r="A3" s="86" t="s">
        <v>47</v>
      </c>
      <c r="B3" s="87"/>
      <c r="C3" s="87"/>
      <c r="D3" s="87"/>
      <c r="E3" s="88"/>
    </row>
    <row r="4" spans="1:5" ht="18.75" customHeight="1" x14ac:dyDescent="0.25">
      <c r="A4" s="56"/>
      <c r="B4" s="57"/>
      <c r="C4" s="57"/>
      <c r="D4" s="57"/>
      <c r="E4" s="81"/>
    </row>
    <row r="5" spans="1:5" ht="15" customHeight="1" x14ac:dyDescent="0.25">
      <c r="A5" s="18" t="s">
        <v>0</v>
      </c>
      <c r="B5" s="19" t="s">
        <v>45</v>
      </c>
      <c r="C5" s="84">
        <v>3.2500000000000001E-2</v>
      </c>
      <c r="D5" s="54" t="s">
        <v>19</v>
      </c>
      <c r="E5" s="20" t="s">
        <v>15</v>
      </c>
    </row>
    <row r="6" spans="1:5" ht="15" customHeight="1" x14ac:dyDescent="0.25">
      <c r="A6" s="18"/>
      <c r="B6" s="19"/>
      <c r="C6" s="55"/>
      <c r="D6" s="54"/>
      <c r="E6" s="20"/>
    </row>
    <row r="7" spans="1:5" ht="20.100000000000001" customHeight="1" x14ac:dyDescent="0.25">
      <c r="A7" s="26"/>
      <c r="B7" s="9"/>
      <c r="C7" s="10"/>
      <c r="D7" s="9"/>
      <c r="E7" s="27"/>
    </row>
    <row r="8" spans="1:5" ht="20.100000000000001" customHeight="1" x14ac:dyDescent="0.25">
      <c r="A8" s="26" t="s">
        <v>27</v>
      </c>
      <c r="B8" s="9">
        <f>5232.2-80.15-89.25-15.63-15.3-75.8-34.23-11.54-35.06-26.97</f>
        <v>4848.2699999999995</v>
      </c>
      <c r="C8" s="10">
        <f>SUM(B8*3.25%)</f>
        <v>157.56877499999999</v>
      </c>
      <c r="D8" s="9">
        <f>+'[1]#17'!$B$22</f>
        <v>158</v>
      </c>
      <c r="E8" s="27"/>
    </row>
    <row r="9" spans="1:5" ht="20.100000000000001" customHeight="1" x14ac:dyDescent="0.25">
      <c r="A9" s="26" t="s">
        <v>34</v>
      </c>
      <c r="B9" s="8">
        <f>2975.03-6-13</f>
        <v>2956.03</v>
      </c>
      <c r="C9" s="10">
        <f t="shared" ref="C9:C17" si="0">SUM(B9*3.25%)</f>
        <v>96.070975000000004</v>
      </c>
      <c r="D9" s="9">
        <f>+'[1]#17'!$C$22</f>
        <v>91</v>
      </c>
      <c r="E9" s="25"/>
    </row>
    <row r="10" spans="1:5" ht="20.100000000000001" customHeight="1" x14ac:dyDescent="0.25">
      <c r="A10" s="26" t="s">
        <v>24</v>
      </c>
      <c r="B10" s="8">
        <f>8085.98-60-118-35-31-25-60-27</f>
        <v>7729.98</v>
      </c>
      <c r="C10" s="10">
        <f t="shared" si="0"/>
        <v>251.22434999999999</v>
      </c>
      <c r="D10" s="9">
        <f>+'[1]#17'!$D$22</f>
        <v>248</v>
      </c>
      <c r="E10" s="27"/>
    </row>
    <row r="11" spans="1:5" ht="20.100000000000001" customHeight="1" x14ac:dyDescent="0.25">
      <c r="A11" s="26" t="s">
        <v>37</v>
      </c>
      <c r="B11" s="9">
        <f>1670.59-12-44-6</f>
        <v>1608.59</v>
      </c>
      <c r="C11" s="10">
        <f t="shared" si="0"/>
        <v>52.279175000000002</v>
      </c>
      <c r="D11" s="9">
        <f>+'[1]#17'!$E$22</f>
        <v>50</v>
      </c>
      <c r="E11" s="27"/>
    </row>
    <row r="12" spans="1:5" ht="20.100000000000001" customHeight="1" x14ac:dyDescent="0.25">
      <c r="A12" s="26" t="s">
        <v>35</v>
      </c>
      <c r="B12" s="9">
        <f>2435.22-7.99-17.7-14.25-12.65-6.99</f>
        <v>2375.6400000000003</v>
      </c>
      <c r="C12" s="10">
        <f t="shared" si="0"/>
        <v>77.208300000000008</v>
      </c>
      <c r="D12" s="9">
        <f>+'[1]#17'!$F$22</f>
        <v>76</v>
      </c>
      <c r="E12" s="27"/>
    </row>
    <row r="13" spans="1:5" ht="20.100000000000001" customHeight="1" x14ac:dyDescent="0.25">
      <c r="A13" s="26" t="s">
        <v>26</v>
      </c>
      <c r="B13" s="9">
        <f>7466.42-40.08-49.21-3.73-60.1-6.32-5.49-25.88-78.25</f>
        <v>7197.3600000000006</v>
      </c>
      <c r="C13" s="10">
        <f t="shared" si="0"/>
        <v>233.91420000000002</v>
      </c>
      <c r="D13" s="9">
        <f>+'[1]#17'!$G$22</f>
        <v>220</v>
      </c>
      <c r="E13" s="25"/>
    </row>
    <row r="14" spans="1:5" ht="20.100000000000001" customHeight="1" x14ac:dyDescent="0.25">
      <c r="A14" s="26" t="s">
        <v>20</v>
      </c>
      <c r="B14" s="9">
        <f>6084.62-5.02-7.99-21.97-7.99</f>
        <v>6041.65</v>
      </c>
      <c r="C14" s="10">
        <f t="shared" si="0"/>
        <v>196.35362499999999</v>
      </c>
      <c r="D14" s="9">
        <f>+'[1]#17'!$H$22</f>
        <v>196</v>
      </c>
      <c r="E14" s="27"/>
    </row>
    <row r="15" spans="1:5" ht="20.100000000000001" customHeight="1" x14ac:dyDescent="0.25">
      <c r="A15" s="26" t="s">
        <v>22</v>
      </c>
      <c r="B15" s="9">
        <f>8429.67</f>
        <v>8429.67</v>
      </c>
      <c r="C15" s="10">
        <f t="shared" si="0"/>
        <v>273.96427499999999</v>
      </c>
      <c r="D15" s="9">
        <f>+'[1]#17'!$I$22</f>
        <v>274</v>
      </c>
      <c r="E15" s="25"/>
    </row>
    <row r="16" spans="1:5" ht="20.100000000000001" customHeight="1" x14ac:dyDescent="0.25">
      <c r="A16" s="26"/>
      <c r="B16" s="9"/>
      <c r="C16" s="10"/>
      <c r="D16" s="9"/>
      <c r="E16" s="27"/>
    </row>
    <row r="17" spans="1:15" ht="20.100000000000001" customHeight="1" x14ac:dyDescent="0.25">
      <c r="A17" s="22" t="s">
        <v>43</v>
      </c>
      <c r="B17" s="9">
        <f>1691.95-25.78-53.12</f>
        <v>1613.0500000000002</v>
      </c>
      <c r="C17" s="10">
        <f t="shared" si="0"/>
        <v>52.424125000000011</v>
      </c>
      <c r="D17" s="9">
        <f>+'[1]#17'!$K$22</f>
        <v>52</v>
      </c>
      <c r="E17" s="25"/>
    </row>
    <row r="18" spans="1:15" ht="20.100000000000001" customHeight="1" x14ac:dyDescent="0.25">
      <c r="A18" s="26" t="s">
        <v>44</v>
      </c>
      <c r="B18" s="9">
        <v>553.54999999999995</v>
      </c>
      <c r="C18" s="10">
        <f t="shared" ref="C18" si="1">SUM(B18*3.25%)</f>
        <v>17.990375</v>
      </c>
      <c r="D18" s="9">
        <f>+'[1]#17'!$L$22</f>
        <v>18</v>
      </c>
      <c r="E18" s="27"/>
      <c r="O18" t="s">
        <v>39</v>
      </c>
    </row>
    <row r="19" spans="1:15" ht="20.100000000000001" customHeight="1" x14ac:dyDescent="0.25">
      <c r="A19" s="22"/>
      <c r="B19" s="23"/>
      <c r="C19" s="24"/>
      <c r="D19" s="9"/>
      <c r="E19" s="25"/>
    </row>
    <row r="20" spans="1:15" ht="20.100000000000001" customHeight="1" x14ac:dyDescent="0.25">
      <c r="A20" s="26"/>
      <c r="B20" s="9"/>
      <c r="C20" s="10"/>
      <c r="D20" s="9"/>
      <c r="E20" s="27"/>
    </row>
    <row r="21" spans="1:15" ht="20.100000000000001" customHeight="1" x14ac:dyDescent="0.25">
      <c r="A21" s="22"/>
      <c r="B21" s="23"/>
      <c r="C21" s="24"/>
      <c r="D21" s="23"/>
      <c r="E21" s="25"/>
    </row>
    <row r="22" spans="1:15" ht="20.100000000000001" customHeight="1" x14ac:dyDescent="0.25">
      <c r="A22" s="26"/>
      <c r="B22" s="9"/>
      <c r="C22" s="10"/>
      <c r="D22" s="9"/>
      <c r="E22" s="27"/>
    </row>
    <row r="23" spans="1:15" ht="20.100000000000001" customHeight="1" x14ac:dyDescent="0.25">
      <c r="A23" s="22"/>
      <c r="B23" s="23"/>
      <c r="C23" s="24"/>
      <c r="D23" s="23"/>
      <c r="E23" s="25"/>
    </row>
    <row r="24" spans="1:15" ht="20.100000000000001" customHeight="1" x14ac:dyDescent="0.25">
      <c r="A24" s="26"/>
      <c r="B24" s="9"/>
      <c r="C24" s="10"/>
      <c r="D24" s="9"/>
      <c r="E24" s="27"/>
    </row>
    <row r="25" spans="1:15" ht="20.100000000000001" customHeight="1" x14ac:dyDescent="0.25">
      <c r="A25" s="22"/>
      <c r="B25" s="23"/>
      <c r="C25" s="24"/>
      <c r="D25" s="23"/>
      <c r="E25" s="25"/>
    </row>
    <row r="26" spans="1:15" ht="20.100000000000001" customHeight="1" x14ac:dyDescent="0.25">
      <c r="A26" s="26"/>
      <c r="B26" s="9"/>
      <c r="C26" s="10"/>
      <c r="D26" s="9"/>
      <c r="E26" s="27"/>
    </row>
    <row r="27" spans="1:15" ht="20.100000000000001" customHeight="1" x14ac:dyDescent="0.25">
      <c r="A27" s="22"/>
      <c r="B27" s="23"/>
      <c r="C27" s="24"/>
      <c r="D27" s="23"/>
      <c r="E27" s="25"/>
    </row>
    <row r="28" spans="1:15" ht="20.100000000000001" customHeight="1" x14ac:dyDescent="0.25">
      <c r="A28" s="26"/>
      <c r="B28" s="9"/>
      <c r="C28" s="10"/>
      <c r="D28" s="9"/>
      <c r="E28" s="27"/>
    </row>
    <row r="29" spans="1:15" ht="15" customHeight="1" x14ac:dyDescent="0.25">
      <c r="A29" s="28" t="s">
        <v>6</v>
      </c>
      <c r="B29" s="12">
        <f>SUM(B7:B28)</f>
        <v>43353.79</v>
      </c>
      <c r="C29" s="13">
        <f>SUM(C7:C28)</f>
        <v>1408.9981750000002</v>
      </c>
      <c r="D29" s="13">
        <f>SUM(D7:D28)</f>
        <v>1383</v>
      </c>
      <c r="E29" s="27"/>
    </row>
    <row r="30" spans="1:15" ht="15" customHeight="1" thickBot="1" x14ac:dyDescent="0.3">
      <c r="A30" s="29"/>
      <c r="B30" s="6"/>
      <c r="C30" s="6"/>
      <c r="D30" s="35"/>
      <c r="E30" s="36"/>
    </row>
    <row r="31" spans="1:15" ht="15" customHeight="1" x14ac:dyDescent="0.25">
      <c r="A31" s="22"/>
      <c r="B31" s="4"/>
      <c r="C31" s="4"/>
      <c r="D31" s="4"/>
      <c r="E31" s="25"/>
    </row>
    <row r="32" spans="1:15" ht="15" customHeight="1" x14ac:dyDescent="0.25">
      <c r="A32" s="16"/>
      <c r="B32" s="30"/>
      <c r="C32" s="4"/>
      <c r="D32" s="4"/>
      <c r="E32" s="25"/>
    </row>
    <row r="33" spans="1:5" ht="15" customHeight="1" x14ac:dyDescent="0.25">
      <c r="A33" s="16"/>
      <c r="B33" s="30"/>
      <c r="C33" s="4"/>
      <c r="D33" s="4"/>
      <c r="E33" s="25"/>
    </row>
    <row r="34" spans="1:5" ht="15" customHeight="1" x14ac:dyDescent="0.25">
      <c r="A34" s="16" t="s">
        <v>7</v>
      </c>
      <c r="B34" s="30">
        <f>SUM(B7:B28)</f>
        <v>43353.79</v>
      </c>
      <c r="C34" s="4"/>
      <c r="D34" s="4"/>
      <c r="E34" s="25"/>
    </row>
    <row r="35" spans="1:5" ht="15" customHeight="1" x14ac:dyDescent="0.25">
      <c r="A35" s="16" t="s">
        <v>8</v>
      </c>
      <c r="B35" s="30">
        <f>SUM(C7:C28)</f>
        <v>1408.9981750000002</v>
      </c>
      <c r="C35" s="4"/>
      <c r="D35" s="17"/>
      <c r="E35" s="25"/>
    </row>
    <row r="36" spans="1:5" ht="15" customHeight="1" x14ac:dyDescent="0.25">
      <c r="A36" s="16" t="s">
        <v>9</v>
      </c>
      <c r="B36" s="34">
        <f>SUM(D7:D28)</f>
        <v>1383</v>
      </c>
      <c r="C36" s="4"/>
      <c r="D36" s="17"/>
      <c r="E36" s="25"/>
    </row>
    <row r="37" spans="1:5" ht="15" customHeight="1" x14ac:dyDescent="0.25">
      <c r="A37" s="32" t="s">
        <v>10</v>
      </c>
      <c r="B37" s="31">
        <f>SUM(B36-B35)</f>
        <v>-25.998175000000174</v>
      </c>
      <c r="C37" s="4"/>
      <c r="D37" s="4"/>
      <c r="E37" s="25"/>
    </row>
    <row r="38" spans="1:5" ht="15.75" x14ac:dyDescent="0.25">
      <c r="A38" s="22"/>
      <c r="B38" s="4"/>
      <c r="C38" s="4"/>
      <c r="D38" s="4"/>
      <c r="E38" s="25"/>
    </row>
    <row r="39" spans="1:5" ht="15.75" x14ac:dyDescent="0.25">
      <c r="A39" s="33"/>
      <c r="B39" s="7"/>
      <c r="C39" s="7"/>
      <c r="D39" s="7"/>
      <c r="E39" s="21"/>
    </row>
    <row r="40" spans="1:5" ht="15.75" x14ac:dyDescent="0.25">
      <c r="A40" s="4"/>
      <c r="B40" s="4"/>
      <c r="C40" s="4"/>
      <c r="D40" s="4"/>
      <c r="E40" s="5"/>
    </row>
    <row r="41" spans="1:5" ht="15.75" x14ac:dyDescent="0.25">
      <c r="A41" s="4"/>
      <c r="B41" s="4"/>
      <c r="C41" s="4"/>
      <c r="D41" s="4"/>
      <c r="E41" s="5"/>
    </row>
    <row r="42" spans="1:5" ht="15.75" x14ac:dyDescent="0.25">
      <c r="A42" s="4"/>
      <c r="B42" s="4"/>
      <c r="C42" s="4"/>
      <c r="D42" s="4"/>
      <c r="E42" s="5"/>
    </row>
  </sheetData>
  <mergeCells count="1">
    <mergeCell ref="A3:E3"/>
  </mergeCells>
  <conditionalFormatting sqref="D1:D2 A1:A4">
    <cfRule type="expression" priority="3" stopIfTrue="1">
      <formula>"Reported sales plus allocated tips equal 8%"</formula>
    </cfRule>
  </conditionalFormatting>
  <pageMargins left="0.7" right="0.7" top="0.75" bottom="0.75" header="0.3" footer="0.3"/>
  <pageSetup scale="81" orientation="portrait" r:id="rId1"/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tabSelected="1" view="pageBreakPreview" zoomScaleNormal="100" zoomScaleSheetLayoutView="100" workbookViewId="0">
      <pane xSplit="1" ySplit="5" topLeftCell="B8" activePane="bottomRight" state="frozen"/>
      <selection pane="topRight" activeCell="B1" sqref="B1"/>
      <selection pane="bottomLeft" activeCell="A4" sqref="A4"/>
      <selection pane="bottomRight" activeCell="H21" sqref="H21"/>
    </sheetView>
  </sheetViews>
  <sheetFormatPr defaultRowHeight="15" x14ac:dyDescent="0.25"/>
  <cols>
    <col min="1" max="1" width="29" customWidth="1"/>
    <col min="2" max="2" width="12.140625" customWidth="1"/>
    <col min="3" max="3" width="8" customWidth="1"/>
    <col min="4" max="4" width="11.28515625" customWidth="1"/>
    <col min="5" max="5" width="14.5703125" customWidth="1"/>
    <col min="6" max="6" width="13.42578125" customWidth="1"/>
    <col min="7" max="7" width="17.5703125" customWidth="1"/>
    <col min="8" max="8" width="14.5703125" customWidth="1"/>
    <col min="9" max="9" width="14.140625" bestFit="1" customWidth="1"/>
    <col min="257" max="257" width="24.42578125" customWidth="1"/>
    <col min="258" max="258" width="8.28515625" customWidth="1"/>
    <col min="259" max="259" width="8" customWidth="1"/>
    <col min="260" max="260" width="11.28515625" customWidth="1"/>
    <col min="261" max="261" width="14.5703125" customWidth="1"/>
    <col min="262" max="262" width="13.42578125" customWidth="1"/>
    <col min="263" max="263" width="17.5703125" customWidth="1"/>
    <col min="513" max="513" width="24.42578125" customWidth="1"/>
    <col min="514" max="514" width="8.28515625" customWidth="1"/>
    <col min="515" max="515" width="8" customWidth="1"/>
    <col min="516" max="516" width="11.28515625" customWidth="1"/>
    <col min="517" max="517" width="14.5703125" customWidth="1"/>
    <col min="518" max="518" width="13.42578125" customWidth="1"/>
    <col min="519" max="519" width="17.5703125" customWidth="1"/>
    <col min="769" max="769" width="24.42578125" customWidth="1"/>
    <col min="770" max="770" width="8.28515625" customWidth="1"/>
    <col min="771" max="771" width="8" customWidth="1"/>
    <col min="772" max="772" width="11.28515625" customWidth="1"/>
    <col min="773" max="773" width="14.5703125" customWidth="1"/>
    <col min="774" max="774" width="13.42578125" customWidth="1"/>
    <col min="775" max="775" width="17.5703125" customWidth="1"/>
    <col min="1025" max="1025" width="24.42578125" customWidth="1"/>
    <col min="1026" max="1026" width="8.28515625" customWidth="1"/>
    <col min="1027" max="1027" width="8" customWidth="1"/>
    <col min="1028" max="1028" width="11.28515625" customWidth="1"/>
    <col min="1029" max="1029" width="14.5703125" customWidth="1"/>
    <col min="1030" max="1030" width="13.42578125" customWidth="1"/>
    <col min="1031" max="1031" width="17.5703125" customWidth="1"/>
    <col min="1281" max="1281" width="24.42578125" customWidth="1"/>
    <col min="1282" max="1282" width="8.28515625" customWidth="1"/>
    <col min="1283" max="1283" width="8" customWidth="1"/>
    <col min="1284" max="1284" width="11.28515625" customWidth="1"/>
    <col min="1285" max="1285" width="14.5703125" customWidth="1"/>
    <col min="1286" max="1286" width="13.42578125" customWidth="1"/>
    <col min="1287" max="1287" width="17.5703125" customWidth="1"/>
    <col min="1537" max="1537" width="24.42578125" customWidth="1"/>
    <col min="1538" max="1538" width="8.28515625" customWidth="1"/>
    <col min="1539" max="1539" width="8" customWidth="1"/>
    <col min="1540" max="1540" width="11.28515625" customWidth="1"/>
    <col min="1541" max="1541" width="14.5703125" customWidth="1"/>
    <col min="1542" max="1542" width="13.42578125" customWidth="1"/>
    <col min="1543" max="1543" width="17.5703125" customWidth="1"/>
    <col min="1793" max="1793" width="24.42578125" customWidth="1"/>
    <col min="1794" max="1794" width="8.28515625" customWidth="1"/>
    <col min="1795" max="1795" width="8" customWidth="1"/>
    <col min="1796" max="1796" width="11.28515625" customWidth="1"/>
    <col min="1797" max="1797" width="14.5703125" customWidth="1"/>
    <col min="1798" max="1798" width="13.42578125" customWidth="1"/>
    <col min="1799" max="1799" width="17.5703125" customWidth="1"/>
    <col min="2049" max="2049" width="24.42578125" customWidth="1"/>
    <col min="2050" max="2050" width="8.28515625" customWidth="1"/>
    <col min="2051" max="2051" width="8" customWidth="1"/>
    <col min="2052" max="2052" width="11.28515625" customWidth="1"/>
    <col min="2053" max="2053" width="14.5703125" customWidth="1"/>
    <col min="2054" max="2054" width="13.42578125" customWidth="1"/>
    <col min="2055" max="2055" width="17.5703125" customWidth="1"/>
    <col min="2305" max="2305" width="24.42578125" customWidth="1"/>
    <col min="2306" max="2306" width="8.28515625" customWidth="1"/>
    <col min="2307" max="2307" width="8" customWidth="1"/>
    <col min="2308" max="2308" width="11.28515625" customWidth="1"/>
    <col min="2309" max="2309" width="14.5703125" customWidth="1"/>
    <col min="2310" max="2310" width="13.42578125" customWidth="1"/>
    <col min="2311" max="2311" width="17.5703125" customWidth="1"/>
    <col min="2561" max="2561" width="24.42578125" customWidth="1"/>
    <col min="2562" max="2562" width="8.28515625" customWidth="1"/>
    <col min="2563" max="2563" width="8" customWidth="1"/>
    <col min="2564" max="2564" width="11.28515625" customWidth="1"/>
    <col min="2565" max="2565" width="14.5703125" customWidth="1"/>
    <col min="2566" max="2566" width="13.42578125" customWidth="1"/>
    <col min="2567" max="2567" width="17.5703125" customWidth="1"/>
    <col min="2817" max="2817" width="24.42578125" customWidth="1"/>
    <col min="2818" max="2818" width="8.28515625" customWidth="1"/>
    <col min="2819" max="2819" width="8" customWidth="1"/>
    <col min="2820" max="2820" width="11.28515625" customWidth="1"/>
    <col min="2821" max="2821" width="14.5703125" customWidth="1"/>
    <col min="2822" max="2822" width="13.42578125" customWidth="1"/>
    <col min="2823" max="2823" width="17.5703125" customWidth="1"/>
    <col min="3073" max="3073" width="24.42578125" customWidth="1"/>
    <col min="3074" max="3074" width="8.28515625" customWidth="1"/>
    <col min="3075" max="3075" width="8" customWidth="1"/>
    <col min="3076" max="3076" width="11.28515625" customWidth="1"/>
    <col min="3077" max="3077" width="14.5703125" customWidth="1"/>
    <col min="3078" max="3078" width="13.42578125" customWidth="1"/>
    <col min="3079" max="3079" width="17.5703125" customWidth="1"/>
    <col min="3329" max="3329" width="24.42578125" customWidth="1"/>
    <col min="3330" max="3330" width="8.28515625" customWidth="1"/>
    <col min="3331" max="3331" width="8" customWidth="1"/>
    <col min="3332" max="3332" width="11.28515625" customWidth="1"/>
    <col min="3333" max="3333" width="14.5703125" customWidth="1"/>
    <col min="3334" max="3334" width="13.42578125" customWidth="1"/>
    <col min="3335" max="3335" width="17.5703125" customWidth="1"/>
    <col min="3585" max="3585" width="24.42578125" customWidth="1"/>
    <col min="3586" max="3586" width="8.28515625" customWidth="1"/>
    <col min="3587" max="3587" width="8" customWidth="1"/>
    <col min="3588" max="3588" width="11.28515625" customWidth="1"/>
    <col min="3589" max="3589" width="14.5703125" customWidth="1"/>
    <col min="3590" max="3590" width="13.42578125" customWidth="1"/>
    <col min="3591" max="3591" width="17.5703125" customWidth="1"/>
    <col min="3841" max="3841" width="24.42578125" customWidth="1"/>
    <col min="3842" max="3842" width="8.28515625" customWidth="1"/>
    <col min="3843" max="3843" width="8" customWidth="1"/>
    <col min="3844" max="3844" width="11.28515625" customWidth="1"/>
    <col min="3845" max="3845" width="14.5703125" customWidth="1"/>
    <col min="3846" max="3846" width="13.42578125" customWidth="1"/>
    <col min="3847" max="3847" width="17.5703125" customWidth="1"/>
    <col min="4097" max="4097" width="24.42578125" customWidth="1"/>
    <col min="4098" max="4098" width="8.28515625" customWidth="1"/>
    <col min="4099" max="4099" width="8" customWidth="1"/>
    <col min="4100" max="4100" width="11.28515625" customWidth="1"/>
    <col min="4101" max="4101" width="14.5703125" customWidth="1"/>
    <col min="4102" max="4102" width="13.42578125" customWidth="1"/>
    <col min="4103" max="4103" width="17.5703125" customWidth="1"/>
    <col min="4353" max="4353" width="24.42578125" customWidth="1"/>
    <col min="4354" max="4354" width="8.28515625" customWidth="1"/>
    <col min="4355" max="4355" width="8" customWidth="1"/>
    <col min="4356" max="4356" width="11.28515625" customWidth="1"/>
    <col min="4357" max="4357" width="14.5703125" customWidth="1"/>
    <col min="4358" max="4358" width="13.42578125" customWidth="1"/>
    <col min="4359" max="4359" width="17.5703125" customWidth="1"/>
    <col min="4609" max="4609" width="24.42578125" customWidth="1"/>
    <col min="4610" max="4610" width="8.28515625" customWidth="1"/>
    <col min="4611" max="4611" width="8" customWidth="1"/>
    <col min="4612" max="4612" width="11.28515625" customWidth="1"/>
    <col min="4613" max="4613" width="14.5703125" customWidth="1"/>
    <col min="4614" max="4614" width="13.42578125" customWidth="1"/>
    <col min="4615" max="4615" width="17.5703125" customWidth="1"/>
    <col min="4865" max="4865" width="24.42578125" customWidth="1"/>
    <col min="4866" max="4866" width="8.28515625" customWidth="1"/>
    <col min="4867" max="4867" width="8" customWidth="1"/>
    <col min="4868" max="4868" width="11.28515625" customWidth="1"/>
    <col min="4869" max="4869" width="14.5703125" customWidth="1"/>
    <col min="4870" max="4870" width="13.42578125" customWidth="1"/>
    <col min="4871" max="4871" width="17.5703125" customWidth="1"/>
    <col min="5121" max="5121" width="24.42578125" customWidth="1"/>
    <col min="5122" max="5122" width="8.28515625" customWidth="1"/>
    <col min="5123" max="5123" width="8" customWidth="1"/>
    <col min="5124" max="5124" width="11.28515625" customWidth="1"/>
    <col min="5125" max="5125" width="14.5703125" customWidth="1"/>
    <col min="5126" max="5126" width="13.42578125" customWidth="1"/>
    <col min="5127" max="5127" width="17.5703125" customWidth="1"/>
    <col min="5377" max="5377" width="24.42578125" customWidth="1"/>
    <col min="5378" max="5378" width="8.28515625" customWidth="1"/>
    <col min="5379" max="5379" width="8" customWidth="1"/>
    <col min="5380" max="5380" width="11.28515625" customWidth="1"/>
    <col min="5381" max="5381" width="14.5703125" customWidth="1"/>
    <col min="5382" max="5382" width="13.42578125" customWidth="1"/>
    <col min="5383" max="5383" width="17.5703125" customWidth="1"/>
    <col min="5633" max="5633" width="24.42578125" customWidth="1"/>
    <col min="5634" max="5634" width="8.28515625" customWidth="1"/>
    <col min="5635" max="5635" width="8" customWidth="1"/>
    <col min="5636" max="5636" width="11.28515625" customWidth="1"/>
    <col min="5637" max="5637" width="14.5703125" customWidth="1"/>
    <col min="5638" max="5638" width="13.42578125" customWidth="1"/>
    <col min="5639" max="5639" width="17.5703125" customWidth="1"/>
    <col min="5889" max="5889" width="24.42578125" customWidth="1"/>
    <col min="5890" max="5890" width="8.28515625" customWidth="1"/>
    <col min="5891" max="5891" width="8" customWidth="1"/>
    <col min="5892" max="5892" width="11.28515625" customWidth="1"/>
    <col min="5893" max="5893" width="14.5703125" customWidth="1"/>
    <col min="5894" max="5894" width="13.42578125" customWidth="1"/>
    <col min="5895" max="5895" width="17.5703125" customWidth="1"/>
    <col min="6145" max="6145" width="24.42578125" customWidth="1"/>
    <col min="6146" max="6146" width="8.28515625" customWidth="1"/>
    <col min="6147" max="6147" width="8" customWidth="1"/>
    <col min="6148" max="6148" width="11.28515625" customWidth="1"/>
    <col min="6149" max="6149" width="14.5703125" customWidth="1"/>
    <col min="6150" max="6150" width="13.42578125" customWidth="1"/>
    <col min="6151" max="6151" width="17.5703125" customWidth="1"/>
    <col min="6401" max="6401" width="24.42578125" customWidth="1"/>
    <col min="6402" max="6402" width="8.28515625" customWidth="1"/>
    <col min="6403" max="6403" width="8" customWidth="1"/>
    <col min="6404" max="6404" width="11.28515625" customWidth="1"/>
    <col min="6405" max="6405" width="14.5703125" customWidth="1"/>
    <col min="6406" max="6406" width="13.42578125" customWidth="1"/>
    <col min="6407" max="6407" width="17.5703125" customWidth="1"/>
    <col min="6657" max="6657" width="24.42578125" customWidth="1"/>
    <col min="6658" max="6658" width="8.28515625" customWidth="1"/>
    <col min="6659" max="6659" width="8" customWidth="1"/>
    <col min="6660" max="6660" width="11.28515625" customWidth="1"/>
    <col min="6661" max="6661" width="14.5703125" customWidth="1"/>
    <col min="6662" max="6662" width="13.42578125" customWidth="1"/>
    <col min="6663" max="6663" width="17.5703125" customWidth="1"/>
    <col min="6913" max="6913" width="24.42578125" customWidth="1"/>
    <col min="6914" max="6914" width="8.28515625" customWidth="1"/>
    <col min="6915" max="6915" width="8" customWidth="1"/>
    <col min="6916" max="6916" width="11.28515625" customWidth="1"/>
    <col min="6917" max="6917" width="14.5703125" customWidth="1"/>
    <col min="6918" max="6918" width="13.42578125" customWidth="1"/>
    <col min="6919" max="6919" width="17.5703125" customWidth="1"/>
    <col min="7169" max="7169" width="24.42578125" customWidth="1"/>
    <col min="7170" max="7170" width="8.28515625" customWidth="1"/>
    <col min="7171" max="7171" width="8" customWidth="1"/>
    <col min="7172" max="7172" width="11.28515625" customWidth="1"/>
    <col min="7173" max="7173" width="14.5703125" customWidth="1"/>
    <col min="7174" max="7174" width="13.42578125" customWidth="1"/>
    <col min="7175" max="7175" width="17.5703125" customWidth="1"/>
    <col min="7425" max="7425" width="24.42578125" customWidth="1"/>
    <col min="7426" max="7426" width="8.28515625" customWidth="1"/>
    <col min="7427" max="7427" width="8" customWidth="1"/>
    <col min="7428" max="7428" width="11.28515625" customWidth="1"/>
    <col min="7429" max="7429" width="14.5703125" customWidth="1"/>
    <col min="7430" max="7430" width="13.42578125" customWidth="1"/>
    <col min="7431" max="7431" width="17.5703125" customWidth="1"/>
    <col min="7681" max="7681" width="24.42578125" customWidth="1"/>
    <col min="7682" max="7682" width="8.28515625" customWidth="1"/>
    <col min="7683" max="7683" width="8" customWidth="1"/>
    <col min="7684" max="7684" width="11.28515625" customWidth="1"/>
    <col min="7685" max="7685" width="14.5703125" customWidth="1"/>
    <col min="7686" max="7686" width="13.42578125" customWidth="1"/>
    <col min="7687" max="7687" width="17.5703125" customWidth="1"/>
    <col min="7937" max="7937" width="24.42578125" customWidth="1"/>
    <col min="7938" max="7938" width="8.28515625" customWidth="1"/>
    <col min="7939" max="7939" width="8" customWidth="1"/>
    <col min="7940" max="7940" width="11.28515625" customWidth="1"/>
    <col min="7941" max="7941" width="14.5703125" customWidth="1"/>
    <col min="7942" max="7942" width="13.42578125" customWidth="1"/>
    <col min="7943" max="7943" width="17.5703125" customWidth="1"/>
    <col min="8193" max="8193" width="24.42578125" customWidth="1"/>
    <col min="8194" max="8194" width="8.28515625" customWidth="1"/>
    <col min="8195" max="8195" width="8" customWidth="1"/>
    <col min="8196" max="8196" width="11.28515625" customWidth="1"/>
    <col min="8197" max="8197" width="14.5703125" customWidth="1"/>
    <col min="8198" max="8198" width="13.42578125" customWidth="1"/>
    <col min="8199" max="8199" width="17.5703125" customWidth="1"/>
    <col min="8449" max="8449" width="24.42578125" customWidth="1"/>
    <col min="8450" max="8450" width="8.28515625" customWidth="1"/>
    <col min="8451" max="8451" width="8" customWidth="1"/>
    <col min="8452" max="8452" width="11.28515625" customWidth="1"/>
    <col min="8453" max="8453" width="14.5703125" customWidth="1"/>
    <col min="8454" max="8454" width="13.42578125" customWidth="1"/>
    <col min="8455" max="8455" width="17.5703125" customWidth="1"/>
    <col min="8705" max="8705" width="24.42578125" customWidth="1"/>
    <col min="8706" max="8706" width="8.28515625" customWidth="1"/>
    <col min="8707" max="8707" width="8" customWidth="1"/>
    <col min="8708" max="8708" width="11.28515625" customWidth="1"/>
    <col min="8709" max="8709" width="14.5703125" customWidth="1"/>
    <col min="8710" max="8710" width="13.42578125" customWidth="1"/>
    <col min="8711" max="8711" width="17.5703125" customWidth="1"/>
    <col min="8961" max="8961" width="24.42578125" customWidth="1"/>
    <col min="8962" max="8962" width="8.28515625" customWidth="1"/>
    <col min="8963" max="8963" width="8" customWidth="1"/>
    <col min="8964" max="8964" width="11.28515625" customWidth="1"/>
    <col min="8965" max="8965" width="14.5703125" customWidth="1"/>
    <col min="8966" max="8966" width="13.42578125" customWidth="1"/>
    <col min="8967" max="8967" width="17.5703125" customWidth="1"/>
    <col min="9217" max="9217" width="24.42578125" customWidth="1"/>
    <col min="9218" max="9218" width="8.28515625" customWidth="1"/>
    <col min="9219" max="9219" width="8" customWidth="1"/>
    <col min="9220" max="9220" width="11.28515625" customWidth="1"/>
    <col min="9221" max="9221" width="14.5703125" customWidth="1"/>
    <col min="9222" max="9222" width="13.42578125" customWidth="1"/>
    <col min="9223" max="9223" width="17.5703125" customWidth="1"/>
    <col min="9473" max="9473" width="24.42578125" customWidth="1"/>
    <col min="9474" max="9474" width="8.28515625" customWidth="1"/>
    <col min="9475" max="9475" width="8" customWidth="1"/>
    <col min="9476" max="9476" width="11.28515625" customWidth="1"/>
    <col min="9477" max="9477" width="14.5703125" customWidth="1"/>
    <col min="9478" max="9478" width="13.42578125" customWidth="1"/>
    <col min="9479" max="9479" width="17.5703125" customWidth="1"/>
    <col min="9729" max="9729" width="24.42578125" customWidth="1"/>
    <col min="9730" max="9730" width="8.28515625" customWidth="1"/>
    <col min="9731" max="9731" width="8" customWidth="1"/>
    <col min="9732" max="9732" width="11.28515625" customWidth="1"/>
    <col min="9733" max="9733" width="14.5703125" customWidth="1"/>
    <col min="9734" max="9734" width="13.42578125" customWidth="1"/>
    <col min="9735" max="9735" width="17.5703125" customWidth="1"/>
    <col min="9985" max="9985" width="24.42578125" customWidth="1"/>
    <col min="9986" max="9986" width="8.28515625" customWidth="1"/>
    <col min="9987" max="9987" width="8" customWidth="1"/>
    <col min="9988" max="9988" width="11.28515625" customWidth="1"/>
    <col min="9989" max="9989" width="14.5703125" customWidth="1"/>
    <col min="9990" max="9990" width="13.42578125" customWidth="1"/>
    <col min="9991" max="9991" width="17.5703125" customWidth="1"/>
    <col min="10241" max="10241" width="24.42578125" customWidth="1"/>
    <col min="10242" max="10242" width="8.28515625" customWidth="1"/>
    <col min="10243" max="10243" width="8" customWidth="1"/>
    <col min="10244" max="10244" width="11.28515625" customWidth="1"/>
    <col min="10245" max="10245" width="14.5703125" customWidth="1"/>
    <col min="10246" max="10246" width="13.42578125" customWidth="1"/>
    <col min="10247" max="10247" width="17.5703125" customWidth="1"/>
    <col min="10497" max="10497" width="24.42578125" customWidth="1"/>
    <col min="10498" max="10498" width="8.28515625" customWidth="1"/>
    <col min="10499" max="10499" width="8" customWidth="1"/>
    <col min="10500" max="10500" width="11.28515625" customWidth="1"/>
    <col min="10501" max="10501" width="14.5703125" customWidth="1"/>
    <col min="10502" max="10502" width="13.42578125" customWidth="1"/>
    <col min="10503" max="10503" width="17.5703125" customWidth="1"/>
    <col min="10753" max="10753" width="24.42578125" customWidth="1"/>
    <col min="10754" max="10754" width="8.28515625" customWidth="1"/>
    <col min="10755" max="10755" width="8" customWidth="1"/>
    <col min="10756" max="10756" width="11.28515625" customWidth="1"/>
    <col min="10757" max="10757" width="14.5703125" customWidth="1"/>
    <col min="10758" max="10758" width="13.42578125" customWidth="1"/>
    <col min="10759" max="10759" width="17.5703125" customWidth="1"/>
    <col min="11009" max="11009" width="24.42578125" customWidth="1"/>
    <col min="11010" max="11010" width="8.28515625" customWidth="1"/>
    <col min="11011" max="11011" width="8" customWidth="1"/>
    <col min="11012" max="11012" width="11.28515625" customWidth="1"/>
    <col min="11013" max="11013" width="14.5703125" customWidth="1"/>
    <col min="11014" max="11014" width="13.42578125" customWidth="1"/>
    <col min="11015" max="11015" width="17.5703125" customWidth="1"/>
    <col min="11265" max="11265" width="24.42578125" customWidth="1"/>
    <col min="11266" max="11266" width="8.28515625" customWidth="1"/>
    <col min="11267" max="11267" width="8" customWidth="1"/>
    <col min="11268" max="11268" width="11.28515625" customWidth="1"/>
    <col min="11269" max="11269" width="14.5703125" customWidth="1"/>
    <col min="11270" max="11270" width="13.42578125" customWidth="1"/>
    <col min="11271" max="11271" width="17.5703125" customWidth="1"/>
    <col min="11521" max="11521" width="24.42578125" customWidth="1"/>
    <col min="11522" max="11522" width="8.28515625" customWidth="1"/>
    <col min="11523" max="11523" width="8" customWidth="1"/>
    <col min="11524" max="11524" width="11.28515625" customWidth="1"/>
    <col min="11525" max="11525" width="14.5703125" customWidth="1"/>
    <col min="11526" max="11526" width="13.42578125" customWidth="1"/>
    <col min="11527" max="11527" width="17.5703125" customWidth="1"/>
    <col min="11777" max="11777" width="24.42578125" customWidth="1"/>
    <col min="11778" max="11778" width="8.28515625" customWidth="1"/>
    <col min="11779" max="11779" width="8" customWidth="1"/>
    <col min="11780" max="11780" width="11.28515625" customWidth="1"/>
    <col min="11781" max="11781" width="14.5703125" customWidth="1"/>
    <col min="11782" max="11782" width="13.42578125" customWidth="1"/>
    <col min="11783" max="11783" width="17.5703125" customWidth="1"/>
    <col min="12033" max="12033" width="24.42578125" customWidth="1"/>
    <col min="12034" max="12034" width="8.28515625" customWidth="1"/>
    <col min="12035" max="12035" width="8" customWidth="1"/>
    <col min="12036" max="12036" width="11.28515625" customWidth="1"/>
    <col min="12037" max="12037" width="14.5703125" customWidth="1"/>
    <col min="12038" max="12038" width="13.42578125" customWidth="1"/>
    <col min="12039" max="12039" width="17.5703125" customWidth="1"/>
    <col min="12289" max="12289" width="24.42578125" customWidth="1"/>
    <col min="12290" max="12290" width="8.28515625" customWidth="1"/>
    <col min="12291" max="12291" width="8" customWidth="1"/>
    <col min="12292" max="12292" width="11.28515625" customWidth="1"/>
    <col min="12293" max="12293" width="14.5703125" customWidth="1"/>
    <col min="12294" max="12294" width="13.42578125" customWidth="1"/>
    <col min="12295" max="12295" width="17.5703125" customWidth="1"/>
    <col min="12545" max="12545" width="24.42578125" customWidth="1"/>
    <col min="12546" max="12546" width="8.28515625" customWidth="1"/>
    <col min="12547" max="12547" width="8" customWidth="1"/>
    <col min="12548" max="12548" width="11.28515625" customWidth="1"/>
    <col min="12549" max="12549" width="14.5703125" customWidth="1"/>
    <col min="12550" max="12550" width="13.42578125" customWidth="1"/>
    <col min="12551" max="12551" width="17.5703125" customWidth="1"/>
    <col min="12801" max="12801" width="24.42578125" customWidth="1"/>
    <col min="12802" max="12802" width="8.28515625" customWidth="1"/>
    <col min="12803" max="12803" width="8" customWidth="1"/>
    <col min="12804" max="12804" width="11.28515625" customWidth="1"/>
    <col min="12805" max="12805" width="14.5703125" customWidth="1"/>
    <col min="12806" max="12806" width="13.42578125" customWidth="1"/>
    <col min="12807" max="12807" width="17.5703125" customWidth="1"/>
    <col min="13057" max="13057" width="24.42578125" customWidth="1"/>
    <col min="13058" max="13058" width="8.28515625" customWidth="1"/>
    <col min="13059" max="13059" width="8" customWidth="1"/>
    <col min="13060" max="13060" width="11.28515625" customWidth="1"/>
    <col min="13061" max="13061" width="14.5703125" customWidth="1"/>
    <col min="13062" max="13062" width="13.42578125" customWidth="1"/>
    <col min="13063" max="13063" width="17.5703125" customWidth="1"/>
    <col min="13313" max="13313" width="24.42578125" customWidth="1"/>
    <col min="13314" max="13314" width="8.28515625" customWidth="1"/>
    <col min="13315" max="13315" width="8" customWidth="1"/>
    <col min="13316" max="13316" width="11.28515625" customWidth="1"/>
    <col min="13317" max="13317" width="14.5703125" customWidth="1"/>
    <col min="13318" max="13318" width="13.42578125" customWidth="1"/>
    <col min="13319" max="13319" width="17.5703125" customWidth="1"/>
    <col min="13569" max="13569" width="24.42578125" customWidth="1"/>
    <col min="13570" max="13570" width="8.28515625" customWidth="1"/>
    <col min="13571" max="13571" width="8" customWidth="1"/>
    <col min="13572" max="13572" width="11.28515625" customWidth="1"/>
    <col min="13573" max="13573" width="14.5703125" customWidth="1"/>
    <col min="13574" max="13574" width="13.42578125" customWidth="1"/>
    <col min="13575" max="13575" width="17.5703125" customWidth="1"/>
    <col min="13825" max="13825" width="24.42578125" customWidth="1"/>
    <col min="13826" max="13826" width="8.28515625" customWidth="1"/>
    <col min="13827" max="13827" width="8" customWidth="1"/>
    <col min="13828" max="13828" width="11.28515625" customWidth="1"/>
    <col min="13829" max="13829" width="14.5703125" customWidth="1"/>
    <col min="13830" max="13830" width="13.42578125" customWidth="1"/>
    <col min="13831" max="13831" width="17.5703125" customWidth="1"/>
    <col min="14081" max="14081" width="24.42578125" customWidth="1"/>
    <col min="14082" max="14082" width="8.28515625" customWidth="1"/>
    <col min="14083" max="14083" width="8" customWidth="1"/>
    <col min="14084" max="14084" width="11.28515625" customWidth="1"/>
    <col min="14085" max="14085" width="14.5703125" customWidth="1"/>
    <col min="14086" max="14086" width="13.42578125" customWidth="1"/>
    <col min="14087" max="14087" width="17.5703125" customWidth="1"/>
    <col min="14337" max="14337" width="24.42578125" customWidth="1"/>
    <col min="14338" max="14338" width="8.28515625" customWidth="1"/>
    <col min="14339" max="14339" width="8" customWidth="1"/>
    <col min="14340" max="14340" width="11.28515625" customWidth="1"/>
    <col min="14341" max="14341" width="14.5703125" customWidth="1"/>
    <col min="14342" max="14342" width="13.42578125" customWidth="1"/>
    <col min="14343" max="14343" width="17.5703125" customWidth="1"/>
    <col min="14593" max="14593" width="24.42578125" customWidth="1"/>
    <col min="14594" max="14594" width="8.28515625" customWidth="1"/>
    <col min="14595" max="14595" width="8" customWidth="1"/>
    <col min="14596" max="14596" width="11.28515625" customWidth="1"/>
    <col min="14597" max="14597" width="14.5703125" customWidth="1"/>
    <col min="14598" max="14598" width="13.42578125" customWidth="1"/>
    <col min="14599" max="14599" width="17.5703125" customWidth="1"/>
    <col min="14849" max="14849" width="24.42578125" customWidth="1"/>
    <col min="14850" max="14850" width="8.28515625" customWidth="1"/>
    <col min="14851" max="14851" width="8" customWidth="1"/>
    <col min="14852" max="14852" width="11.28515625" customWidth="1"/>
    <col min="14853" max="14853" width="14.5703125" customWidth="1"/>
    <col min="14854" max="14854" width="13.42578125" customWidth="1"/>
    <col min="14855" max="14855" width="17.5703125" customWidth="1"/>
    <col min="15105" max="15105" width="24.42578125" customWidth="1"/>
    <col min="15106" max="15106" width="8.28515625" customWidth="1"/>
    <col min="15107" max="15107" width="8" customWidth="1"/>
    <col min="15108" max="15108" width="11.28515625" customWidth="1"/>
    <col min="15109" max="15109" width="14.5703125" customWidth="1"/>
    <col min="15110" max="15110" width="13.42578125" customWidth="1"/>
    <col min="15111" max="15111" width="17.5703125" customWidth="1"/>
    <col min="15361" max="15361" width="24.42578125" customWidth="1"/>
    <col min="15362" max="15362" width="8.28515625" customWidth="1"/>
    <col min="15363" max="15363" width="8" customWidth="1"/>
    <col min="15364" max="15364" width="11.28515625" customWidth="1"/>
    <col min="15365" max="15365" width="14.5703125" customWidth="1"/>
    <col min="15366" max="15366" width="13.42578125" customWidth="1"/>
    <col min="15367" max="15367" width="17.5703125" customWidth="1"/>
    <col min="15617" max="15617" width="24.42578125" customWidth="1"/>
    <col min="15618" max="15618" width="8.28515625" customWidth="1"/>
    <col min="15619" max="15619" width="8" customWidth="1"/>
    <col min="15620" max="15620" width="11.28515625" customWidth="1"/>
    <col min="15621" max="15621" width="14.5703125" customWidth="1"/>
    <col min="15622" max="15622" width="13.42578125" customWidth="1"/>
    <col min="15623" max="15623" width="17.5703125" customWidth="1"/>
    <col min="15873" max="15873" width="24.42578125" customWidth="1"/>
    <col min="15874" max="15874" width="8.28515625" customWidth="1"/>
    <col min="15875" max="15875" width="8" customWidth="1"/>
    <col min="15876" max="15876" width="11.28515625" customWidth="1"/>
    <col min="15877" max="15877" width="14.5703125" customWidth="1"/>
    <col min="15878" max="15878" width="13.42578125" customWidth="1"/>
    <col min="15879" max="15879" width="17.5703125" customWidth="1"/>
    <col min="16129" max="16129" width="24.42578125" customWidth="1"/>
    <col min="16130" max="16130" width="8.28515625" customWidth="1"/>
    <col min="16131" max="16131" width="8" customWidth="1"/>
    <col min="16132" max="16132" width="11.28515625" customWidth="1"/>
    <col min="16133" max="16133" width="14.5703125" customWidth="1"/>
    <col min="16134" max="16134" width="13.42578125" customWidth="1"/>
    <col min="16135" max="16135" width="17.5703125" customWidth="1"/>
  </cols>
  <sheetData>
    <row r="1" spans="1:9" ht="18.75" x14ac:dyDescent="0.3">
      <c r="A1" s="14" t="s">
        <v>16</v>
      </c>
      <c r="B1" s="52"/>
      <c r="C1" s="15"/>
      <c r="D1" s="15"/>
      <c r="E1" s="15"/>
      <c r="F1" s="53"/>
      <c r="G1" s="65" t="s">
        <v>38</v>
      </c>
      <c r="H1" s="60"/>
    </row>
    <row r="2" spans="1:9" ht="18.75" x14ac:dyDescent="0.3">
      <c r="A2" s="79"/>
      <c r="B2" s="82"/>
      <c r="F2" s="80"/>
      <c r="G2" s="83"/>
      <c r="H2" s="39"/>
    </row>
    <row r="3" spans="1:9" ht="18" x14ac:dyDescent="0.25">
      <c r="A3" s="89" t="s">
        <v>18</v>
      </c>
      <c r="B3" s="90"/>
      <c r="C3" s="90"/>
      <c r="D3" s="90"/>
      <c r="E3" s="90"/>
      <c r="F3" s="90"/>
      <c r="G3" s="90"/>
      <c r="H3" s="39"/>
    </row>
    <row r="4" spans="1:9" ht="18" x14ac:dyDescent="0.25">
      <c r="A4" s="59"/>
      <c r="B4" s="58"/>
      <c r="C4" s="58"/>
      <c r="D4" s="58"/>
      <c r="E4" s="58"/>
      <c r="F4" s="58"/>
      <c r="G4" s="58"/>
      <c r="H4" s="39"/>
    </row>
    <row r="5" spans="1:9" ht="15.75" x14ac:dyDescent="0.25">
      <c r="A5" s="18" t="s">
        <v>0</v>
      </c>
      <c r="B5" s="67" t="s">
        <v>1</v>
      </c>
      <c r="C5" s="67" t="s">
        <v>2</v>
      </c>
      <c r="D5" s="19" t="s">
        <v>3</v>
      </c>
      <c r="E5" s="19" t="s">
        <v>4</v>
      </c>
      <c r="F5" s="19" t="s">
        <v>5</v>
      </c>
      <c r="G5" s="19" t="s">
        <v>11</v>
      </c>
      <c r="H5" s="91" t="s">
        <v>21</v>
      </c>
      <c r="I5" s="62"/>
    </row>
    <row r="6" spans="1:9" ht="15.75" x14ac:dyDescent="0.25">
      <c r="A6" s="18"/>
      <c r="B6" s="67"/>
      <c r="C6" s="67"/>
      <c r="D6" s="19"/>
      <c r="E6" s="19"/>
      <c r="F6" s="19"/>
      <c r="G6" s="19"/>
      <c r="H6" s="92"/>
    </row>
    <row r="7" spans="1:9" ht="15.75" x14ac:dyDescent="0.25">
      <c r="A7" s="26"/>
      <c r="B7" s="68"/>
      <c r="C7" s="68"/>
      <c r="D7" s="11"/>
      <c r="E7" s="9"/>
      <c r="F7" s="37"/>
      <c r="G7" s="9"/>
      <c r="H7" s="93"/>
      <c r="I7" s="69"/>
    </row>
    <row r="8" spans="1:9" ht="15.75" x14ac:dyDescent="0.25">
      <c r="A8" s="85" t="s">
        <v>36</v>
      </c>
      <c r="B8" s="68">
        <f>15+34</f>
        <v>49</v>
      </c>
      <c r="C8" s="68">
        <v>12</v>
      </c>
      <c r="D8" s="11">
        <v>0.5</v>
      </c>
      <c r="E8" s="9">
        <f t="shared" ref="E8" si="0">SUM(B8*C8*D8)</f>
        <v>294</v>
      </c>
      <c r="F8" s="37">
        <f>SUM(E8/E40)</f>
        <v>2.4276454316502209E-2</v>
      </c>
      <c r="G8" s="9">
        <f>SUM(E50*F8)</f>
        <v>33.574336319722555</v>
      </c>
      <c r="H8" s="92">
        <v>34</v>
      </c>
      <c r="I8" s="69"/>
    </row>
    <row r="9" spans="1:9" ht="15.75" x14ac:dyDescent="0.25">
      <c r="A9" s="26" t="s">
        <v>40</v>
      </c>
      <c r="B9" s="68">
        <v>29.75</v>
      </c>
      <c r="C9" s="68">
        <v>12</v>
      </c>
      <c r="D9" s="11">
        <v>0.5</v>
      </c>
      <c r="E9" s="9">
        <f t="shared" ref="E9:E21" si="1">SUM(B9*C9*D9)</f>
        <v>178.5</v>
      </c>
      <c r="F9" s="37">
        <f>SUM(E9/E40)</f>
        <v>1.4739275835019197E-2</v>
      </c>
      <c r="G9" s="9">
        <f>SUM(E50*F9)</f>
        <v>20.384418479831549</v>
      </c>
      <c r="H9" s="93">
        <v>20</v>
      </c>
      <c r="I9" s="69"/>
    </row>
    <row r="10" spans="1:9" ht="15.75" x14ac:dyDescent="0.25">
      <c r="A10" s="26" t="s">
        <v>23</v>
      </c>
      <c r="B10" s="68">
        <v>30.75</v>
      </c>
      <c r="C10" s="68">
        <v>12</v>
      </c>
      <c r="D10" s="11">
        <v>1</v>
      </c>
      <c r="E10" s="9">
        <f t="shared" si="1"/>
        <v>369</v>
      </c>
      <c r="F10" s="37">
        <f>SUM(E10/E40)</f>
        <v>3.0469427356426243E-2</v>
      </c>
      <c r="G10" s="9">
        <f>SUM(E50*F10)</f>
        <v>42.139218033937496</v>
      </c>
      <c r="H10" s="93">
        <v>42</v>
      </c>
      <c r="I10" s="69"/>
    </row>
    <row r="11" spans="1:9" ht="15.75" x14ac:dyDescent="0.25">
      <c r="A11" s="85" t="s">
        <v>31</v>
      </c>
      <c r="B11" s="68">
        <v>23.25</v>
      </c>
      <c r="C11" s="68">
        <v>12</v>
      </c>
      <c r="D11" s="11">
        <v>0.5</v>
      </c>
      <c r="E11" s="9">
        <f t="shared" si="1"/>
        <v>139.5</v>
      </c>
      <c r="F11" s="37">
        <f>SUM(E11/E40)</f>
        <v>1.1518929854258701E-2</v>
      </c>
      <c r="G11" s="9">
        <f>SUM(E50*F11)</f>
        <v>15.930679988439783</v>
      </c>
      <c r="H11" s="93">
        <v>16</v>
      </c>
      <c r="I11" s="69"/>
    </row>
    <row r="12" spans="1:9" ht="15.75" x14ac:dyDescent="0.25">
      <c r="A12" s="85" t="s">
        <v>32</v>
      </c>
      <c r="B12" s="68">
        <v>0</v>
      </c>
      <c r="C12" s="68">
        <v>12</v>
      </c>
      <c r="D12" s="11">
        <v>1</v>
      </c>
      <c r="E12" s="23">
        <f t="shared" si="1"/>
        <v>0</v>
      </c>
      <c r="F12" s="37">
        <f>SUM(E12/E40)</f>
        <v>0</v>
      </c>
      <c r="G12" s="8">
        <f>SUM(E50*F12)</f>
        <v>0</v>
      </c>
      <c r="H12" s="92">
        <v>0</v>
      </c>
      <c r="I12" s="69"/>
    </row>
    <row r="13" spans="1:9" ht="15.75" x14ac:dyDescent="0.25">
      <c r="A13" s="26" t="s">
        <v>17</v>
      </c>
      <c r="B13" s="68">
        <v>64.25</v>
      </c>
      <c r="C13" s="68">
        <v>15</v>
      </c>
      <c r="D13" s="11">
        <v>2</v>
      </c>
      <c r="E13" s="9">
        <f t="shared" si="1"/>
        <v>1927.5</v>
      </c>
      <c r="F13" s="37">
        <f>SUM(E13/E40)</f>
        <v>0.15915940712604765</v>
      </c>
      <c r="G13" s="9">
        <f>SUM(E50*F13)</f>
        <v>220.1174600553239</v>
      </c>
      <c r="H13" s="93">
        <v>220</v>
      </c>
      <c r="I13" s="69"/>
    </row>
    <row r="14" spans="1:9" ht="15.75" x14ac:dyDescent="0.25">
      <c r="A14" s="26" t="s">
        <v>29</v>
      </c>
      <c r="B14" s="68">
        <v>24</v>
      </c>
      <c r="C14" s="68">
        <v>12</v>
      </c>
      <c r="D14" s="11">
        <v>0.5</v>
      </c>
      <c r="E14" s="9">
        <f t="shared" si="1"/>
        <v>144</v>
      </c>
      <c r="F14" s="37">
        <f>SUM(E14/E40)</f>
        <v>1.1890508236654143E-2</v>
      </c>
      <c r="G14" s="9">
        <f>SUM(E50*F14)</f>
        <v>16.44457289129268</v>
      </c>
      <c r="H14" s="93">
        <v>17</v>
      </c>
      <c r="I14" s="69"/>
    </row>
    <row r="15" spans="1:9" ht="15.75" x14ac:dyDescent="0.25">
      <c r="A15" s="85" t="s">
        <v>28</v>
      </c>
      <c r="B15" s="68">
        <f>72+45.5</f>
        <v>117.5</v>
      </c>
      <c r="C15" s="68">
        <v>16</v>
      </c>
      <c r="D15" s="11">
        <v>2</v>
      </c>
      <c r="E15" s="9">
        <f t="shared" si="1"/>
        <v>3760</v>
      </c>
      <c r="F15" s="37">
        <f>SUM(E15/E40)</f>
        <v>0.3104743817348582</v>
      </c>
      <c r="G15" s="9">
        <f>SUM(E50*F15)</f>
        <v>429.38606993930887</v>
      </c>
      <c r="H15" s="93">
        <v>429</v>
      </c>
      <c r="I15" s="69"/>
    </row>
    <row r="16" spans="1:9" ht="15.75" x14ac:dyDescent="0.25">
      <c r="A16" s="26" t="s">
        <v>30</v>
      </c>
      <c r="B16" s="68">
        <f>42+56</f>
        <v>98</v>
      </c>
      <c r="C16" s="68">
        <v>15</v>
      </c>
      <c r="D16" s="11">
        <v>2</v>
      </c>
      <c r="E16" s="9">
        <f t="shared" si="1"/>
        <v>2940</v>
      </c>
      <c r="F16" s="37">
        <f>SUM(E16/E40)</f>
        <v>0.24276454316502208</v>
      </c>
      <c r="G16" s="9">
        <f>SUM(E50*F16)</f>
        <v>335.74336319722556</v>
      </c>
      <c r="H16" s="92">
        <v>336</v>
      </c>
      <c r="I16" s="69"/>
    </row>
    <row r="17" spans="1:9" ht="15.75" x14ac:dyDescent="0.25">
      <c r="A17" s="26" t="s">
        <v>33</v>
      </c>
      <c r="B17" s="68">
        <v>59</v>
      </c>
      <c r="C17" s="68">
        <v>15</v>
      </c>
      <c r="D17" s="11">
        <v>2</v>
      </c>
      <c r="E17" s="9">
        <f t="shared" si="1"/>
        <v>1770</v>
      </c>
      <c r="F17" s="37">
        <f>SUM(E17/E40)</f>
        <v>0.14615416374220719</v>
      </c>
      <c r="G17" s="9">
        <f>SUM(E50*F17)</f>
        <v>202.13120845547255</v>
      </c>
      <c r="H17" s="93">
        <v>202</v>
      </c>
      <c r="I17" s="69"/>
    </row>
    <row r="18" spans="1:9" ht="15.75" x14ac:dyDescent="0.25">
      <c r="A18" s="26" t="s">
        <v>42</v>
      </c>
      <c r="B18" s="68">
        <v>27.5</v>
      </c>
      <c r="C18" s="68">
        <v>12</v>
      </c>
      <c r="D18" s="11">
        <v>1</v>
      </c>
      <c r="E18" s="9">
        <f t="shared" si="1"/>
        <v>330</v>
      </c>
      <c r="F18" s="37">
        <f>SUM(E18/E40)</f>
        <v>2.7249081375665743E-2</v>
      </c>
      <c r="G18" s="9">
        <f>SUM(E50*F18)</f>
        <v>37.685479542545721</v>
      </c>
      <c r="H18" s="93">
        <v>38</v>
      </c>
      <c r="I18" s="69"/>
    </row>
    <row r="19" spans="1:9" ht="15.75" x14ac:dyDescent="0.25">
      <c r="A19" s="26" t="s">
        <v>25</v>
      </c>
      <c r="B19" s="68">
        <v>34</v>
      </c>
      <c r="C19" s="68">
        <v>12</v>
      </c>
      <c r="D19" s="11">
        <v>0.5</v>
      </c>
      <c r="E19" s="9">
        <f t="shared" si="1"/>
        <v>204</v>
      </c>
      <c r="F19" s="37">
        <f>SUM(E19/E40)</f>
        <v>1.6844886668593368E-2</v>
      </c>
      <c r="G19" s="9">
        <f>SUM(E50*F19)</f>
        <v>23.296478262664628</v>
      </c>
      <c r="H19" s="92">
        <v>23</v>
      </c>
      <c r="I19" s="69"/>
    </row>
    <row r="20" spans="1:9" ht="15.75" x14ac:dyDescent="0.25">
      <c r="A20" s="26"/>
      <c r="B20" s="68"/>
      <c r="C20" s="68"/>
      <c r="D20" s="11"/>
      <c r="E20" s="23">
        <f t="shared" si="1"/>
        <v>0</v>
      </c>
      <c r="F20" s="37">
        <f>SUM(E20/E40)</f>
        <v>0</v>
      </c>
      <c r="G20" s="23">
        <f>SUM(E50*F20)</f>
        <v>0</v>
      </c>
      <c r="H20" s="93">
        <v>0</v>
      </c>
      <c r="I20" s="69"/>
    </row>
    <row r="21" spans="1:9" ht="15.75" x14ac:dyDescent="0.25">
      <c r="A21" s="26" t="s">
        <v>41</v>
      </c>
      <c r="B21" s="68">
        <v>4.5</v>
      </c>
      <c r="C21" s="68">
        <v>12</v>
      </c>
      <c r="D21" s="11">
        <v>1</v>
      </c>
      <c r="E21" s="9">
        <f t="shared" si="1"/>
        <v>54</v>
      </c>
      <c r="F21" s="37">
        <f>SUM(E21/E40)</f>
        <v>4.458940588745304E-3</v>
      </c>
      <c r="G21" s="9">
        <f>SUM(E50*F21)</f>
        <v>6.1667148342347557</v>
      </c>
      <c r="H21" s="92">
        <v>6</v>
      </c>
      <c r="I21" s="69"/>
    </row>
    <row r="22" spans="1:9" ht="15.75" x14ac:dyDescent="0.25">
      <c r="A22" s="26"/>
      <c r="B22" s="68"/>
      <c r="C22" s="68"/>
      <c r="D22" s="11"/>
      <c r="E22" s="23"/>
      <c r="F22" s="37"/>
      <c r="G22" s="23"/>
      <c r="H22" s="63"/>
    </row>
    <row r="23" spans="1:9" ht="15.75" x14ac:dyDescent="0.25">
      <c r="A23" s="85"/>
      <c r="B23" s="68"/>
      <c r="C23" s="68"/>
      <c r="D23" s="68"/>
      <c r="E23" s="9"/>
      <c r="F23" s="37"/>
      <c r="G23" s="9"/>
      <c r="H23" s="39"/>
    </row>
    <row r="24" spans="1:9" ht="15.75" x14ac:dyDescent="0.25">
      <c r="A24" s="26"/>
      <c r="B24" s="68"/>
      <c r="C24" s="68"/>
      <c r="D24" s="68"/>
      <c r="E24" s="9"/>
      <c r="F24" s="37"/>
      <c r="G24" s="9"/>
      <c r="H24" s="63"/>
    </row>
    <row r="25" spans="1:9" ht="15.75" x14ac:dyDescent="0.25">
      <c r="A25" s="26"/>
      <c r="B25" s="11"/>
      <c r="C25" s="11"/>
      <c r="D25" s="11"/>
      <c r="E25" s="9"/>
      <c r="F25" s="37"/>
      <c r="G25" s="9"/>
      <c r="H25" s="39"/>
    </row>
    <row r="26" spans="1:9" ht="15.75" x14ac:dyDescent="0.25">
      <c r="A26" s="26"/>
      <c r="B26" s="11"/>
      <c r="C26" s="11"/>
      <c r="D26" s="11"/>
      <c r="E26" s="9"/>
      <c r="F26" s="37"/>
      <c r="G26" s="9"/>
      <c r="H26" s="63"/>
    </row>
    <row r="27" spans="1:9" ht="15.75" x14ac:dyDescent="0.25">
      <c r="A27" s="22"/>
      <c r="B27" s="5"/>
      <c r="C27" s="5"/>
      <c r="D27" s="5"/>
      <c r="E27" s="23"/>
      <c r="F27" s="40"/>
      <c r="G27" s="23"/>
      <c r="H27" s="39"/>
    </row>
    <row r="28" spans="1:9" ht="15.75" x14ac:dyDescent="0.25">
      <c r="A28" s="26"/>
      <c r="B28" s="11"/>
      <c r="C28" s="11"/>
      <c r="D28" s="11"/>
      <c r="E28" s="9"/>
      <c r="F28" s="37"/>
      <c r="G28" s="9"/>
      <c r="H28" s="63"/>
    </row>
    <row r="29" spans="1:9" ht="15.75" x14ac:dyDescent="0.25">
      <c r="A29" s="26"/>
      <c r="B29" s="11"/>
      <c r="C29" s="11"/>
      <c r="D29" s="11"/>
      <c r="E29" s="9"/>
      <c r="F29" s="37"/>
      <c r="G29" s="9"/>
      <c r="H29" s="39"/>
    </row>
    <row r="30" spans="1:9" ht="15.75" x14ac:dyDescent="0.25">
      <c r="A30" s="22"/>
      <c r="B30" s="5"/>
      <c r="C30" s="5"/>
      <c r="D30" s="5"/>
      <c r="E30" s="23"/>
      <c r="F30" s="40"/>
      <c r="G30" s="23"/>
      <c r="H30" s="63"/>
    </row>
    <row r="31" spans="1:9" ht="15.75" x14ac:dyDescent="0.25">
      <c r="A31" s="26"/>
      <c r="B31" s="11"/>
      <c r="C31" s="11"/>
      <c r="D31" s="11"/>
      <c r="E31" s="9"/>
      <c r="F31" s="37"/>
      <c r="G31" s="9"/>
      <c r="H31" s="39"/>
    </row>
    <row r="32" spans="1:9" ht="15.75" x14ac:dyDescent="0.25">
      <c r="A32" s="22"/>
      <c r="B32" s="5"/>
      <c r="C32" s="5"/>
      <c r="D32" s="5"/>
      <c r="E32" s="23"/>
      <c r="F32" s="40"/>
      <c r="G32" s="23"/>
      <c r="H32" s="63"/>
    </row>
    <row r="33" spans="1:10" ht="15.75" x14ac:dyDescent="0.25">
      <c r="A33" s="26"/>
      <c r="B33" s="11"/>
      <c r="C33" s="11"/>
      <c r="D33" s="11"/>
      <c r="E33" s="9"/>
      <c r="F33" s="37"/>
      <c r="G33" s="9"/>
      <c r="H33" s="39"/>
    </row>
    <row r="34" spans="1:10" ht="15.75" x14ac:dyDescent="0.25">
      <c r="A34" s="22"/>
      <c r="B34" s="5"/>
      <c r="C34" s="5"/>
      <c r="D34" s="5"/>
      <c r="E34" s="23"/>
      <c r="F34" s="40"/>
      <c r="G34" s="23"/>
      <c r="H34" s="63"/>
    </row>
    <row r="35" spans="1:10" ht="15.75" x14ac:dyDescent="0.25">
      <c r="A35" s="26"/>
      <c r="B35" s="11"/>
      <c r="C35" s="11"/>
      <c r="D35" s="11"/>
      <c r="E35" s="9"/>
      <c r="F35" s="37"/>
      <c r="G35" s="9"/>
      <c r="H35" s="39"/>
    </row>
    <row r="36" spans="1:10" ht="15.75" x14ac:dyDescent="0.25">
      <c r="A36" s="22"/>
      <c r="B36" s="5"/>
      <c r="C36" s="5"/>
      <c r="D36" s="5"/>
      <c r="E36" s="23"/>
      <c r="F36" s="40"/>
      <c r="G36" s="23"/>
      <c r="H36" s="63"/>
    </row>
    <row r="37" spans="1:10" ht="15.75" x14ac:dyDescent="0.25">
      <c r="A37" s="26"/>
      <c r="B37" s="11"/>
      <c r="C37" s="11"/>
      <c r="D37" s="11"/>
      <c r="E37" s="9"/>
      <c r="F37" s="37"/>
      <c r="G37" s="9"/>
      <c r="H37" s="39"/>
    </row>
    <row r="38" spans="1:10" ht="15.75" x14ac:dyDescent="0.25">
      <c r="A38" s="41"/>
      <c r="B38" s="38"/>
      <c r="C38" s="38"/>
      <c r="D38" s="38"/>
      <c r="E38" s="9"/>
      <c r="F38" s="37"/>
      <c r="G38" s="9"/>
      <c r="H38" s="63"/>
    </row>
    <row r="39" spans="1:10" ht="16.5" thickBot="1" x14ac:dyDescent="0.3">
      <c r="A39" s="22"/>
      <c r="B39" s="5"/>
      <c r="C39" s="5"/>
      <c r="D39" s="5"/>
      <c r="E39" s="23"/>
      <c r="F39" s="40"/>
      <c r="G39" s="23"/>
      <c r="H39" s="64"/>
    </row>
    <row r="40" spans="1:10" ht="15.75" x14ac:dyDescent="0.25">
      <c r="A40" s="71" t="s">
        <v>6</v>
      </c>
      <c r="B40" s="72"/>
      <c r="C40" s="72"/>
      <c r="D40" s="72"/>
      <c r="E40" s="73">
        <f>SUM(E7:E39)</f>
        <v>12110.5</v>
      </c>
      <c r="F40" s="74">
        <f>SUM(F7:F39)</f>
        <v>1.0000000000000002</v>
      </c>
      <c r="G40" s="75">
        <f>SUM(G7:G39)</f>
        <v>1382.9999999999998</v>
      </c>
      <c r="H40" s="76">
        <f>SUM(H7:H39)</f>
        <v>1383</v>
      </c>
      <c r="I40" s="77"/>
      <c r="J40" s="70"/>
    </row>
    <row r="41" spans="1:10" ht="15.75" thickBot="1" x14ac:dyDescent="0.3">
      <c r="A41" s="42"/>
      <c r="B41" s="2"/>
      <c r="C41" s="2"/>
      <c r="D41" s="2"/>
      <c r="E41" s="3"/>
      <c r="F41" s="3"/>
      <c r="G41" s="3"/>
      <c r="H41" s="64"/>
    </row>
    <row r="42" spans="1:10" x14ac:dyDescent="0.25">
      <c r="A42" s="43"/>
      <c r="H42" s="39"/>
    </row>
    <row r="43" spans="1:10" x14ac:dyDescent="0.25">
      <c r="A43" s="44"/>
      <c r="B43" s="45"/>
      <c r="C43" s="45"/>
      <c r="D43" s="45"/>
      <c r="E43" s="46"/>
      <c r="H43" s="39"/>
    </row>
    <row r="44" spans="1:10" ht="15.75" x14ac:dyDescent="0.25">
      <c r="A44" s="16" t="s">
        <v>12</v>
      </c>
      <c r="B44" s="47"/>
      <c r="C44" s="17"/>
      <c r="D44" s="17"/>
      <c r="E44" s="48">
        <f>'Step 2 - Server PP Contribution'!B36</f>
        <v>1383</v>
      </c>
      <c r="F44" s="4"/>
      <c r="G44" s="17"/>
      <c r="H44" s="39"/>
    </row>
    <row r="45" spans="1:10" ht="15.75" x14ac:dyDescent="0.25">
      <c r="A45" s="32" t="s">
        <v>13</v>
      </c>
      <c r="B45" s="47"/>
      <c r="C45" s="47"/>
      <c r="D45" s="47"/>
      <c r="E45" s="49"/>
      <c r="F45" s="4"/>
      <c r="G45" s="4"/>
      <c r="H45" s="39"/>
    </row>
    <row r="46" spans="1:10" ht="15.75" x14ac:dyDescent="0.25">
      <c r="A46" s="22"/>
      <c r="B46" s="50">
        <v>0</v>
      </c>
      <c r="C46" s="4"/>
      <c r="D46" s="4"/>
      <c r="E46" s="78"/>
      <c r="F46" s="4"/>
      <c r="G46" s="4"/>
      <c r="H46" s="39"/>
    </row>
    <row r="47" spans="1:10" ht="15.75" x14ac:dyDescent="0.25">
      <c r="A47" s="22"/>
      <c r="B47" s="50">
        <v>0</v>
      </c>
      <c r="C47" s="4"/>
      <c r="D47" s="4"/>
      <c r="E47" s="4"/>
      <c r="F47" s="4"/>
      <c r="G47" s="4"/>
      <c r="H47" s="39"/>
    </row>
    <row r="48" spans="1:10" ht="15.75" x14ac:dyDescent="0.25">
      <c r="A48" s="22"/>
      <c r="B48" s="50">
        <v>0</v>
      </c>
      <c r="C48" s="4"/>
      <c r="D48" s="4"/>
      <c r="E48" s="4"/>
      <c r="F48" s="4"/>
      <c r="G48" s="4"/>
      <c r="H48" s="39"/>
    </row>
    <row r="49" spans="1:8" ht="15.75" x14ac:dyDescent="0.25">
      <c r="A49" s="22"/>
      <c r="B49" s="50"/>
      <c r="C49" s="4"/>
      <c r="D49" s="4"/>
      <c r="E49" s="4"/>
      <c r="F49" s="4"/>
      <c r="G49" s="4"/>
      <c r="H49" s="39"/>
    </row>
    <row r="50" spans="1:8" ht="15.75" x14ac:dyDescent="0.25">
      <c r="A50" s="33" t="s">
        <v>14</v>
      </c>
      <c r="B50" s="7"/>
      <c r="C50" s="7"/>
      <c r="D50" s="7"/>
      <c r="E50" s="51">
        <f>SUM(E44-E45)</f>
        <v>1383</v>
      </c>
      <c r="F50" s="7"/>
      <c r="G50" s="7"/>
      <c r="H50" s="61"/>
    </row>
  </sheetData>
  <mergeCells count="1">
    <mergeCell ref="A3:G3"/>
  </mergeCells>
  <conditionalFormatting sqref="B1:B2 A1:A4">
    <cfRule type="expression" priority="3" stopIfTrue="1">
      <formula>"Reported sales plus allocated tips equal 8%"</formula>
    </cfRule>
  </conditionalFormatting>
  <pageMargins left="0.7" right="0.7" top="0.75" bottom="0.75" header="0.3" footer="0.3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Step 2 - Server PP Contribution</vt:lpstr>
      <vt:lpstr>Tip Pool Shares</vt:lpstr>
      <vt:lpstr>Sheet3</vt:lpstr>
      <vt:lpstr>'Step 2 - Server PP Contribution'!Print_Area</vt:lpstr>
      <vt:lpstr>'Tip Pool Shares'!Print_Area</vt:lpstr>
    </vt:vector>
  </TitlesOfParts>
  <Company>SCHC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Bookkeeper</dc:creator>
  <cp:lastModifiedBy>Tom Lachausee</cp:lastModifiedBy>
  <cp:lastPrinted>2020-01-01T22:40:07Z</cp:lastPrinted>
  <dcterms:created xsi:type="dcterms:W3CDTF">2014-06-19T23:25:01Z</dcterms:created>
  <dcterms:modified xsi:type="dcterms:W3CDTF">2025-12-07T02:18:57Z</dcterms:modified>
</cp:coreProperties>
</file>